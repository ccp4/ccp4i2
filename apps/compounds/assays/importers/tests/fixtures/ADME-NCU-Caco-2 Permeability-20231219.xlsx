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10" yWindow="2190" windowWidth="20730" windowHeight="10995" tabRatio="600" firstSheet="0" activeTab="0" autoFilterDateGrouping="1"/>
  </bookViews>
  <sheets>
    <sheet name="Signature" sheetId="1" state="visible" r:id="rId1"/>
    <sheet name="Summary" sheetId="2" state="visible" r:id="rId2"/>
    <sheet name="Materials" sheetId="3" state="visible" r:id="rId3"/>
    <sheet name="Study Design" sheetId="4" state="visible" r:id="rId4"/>
    <sheet name="Bioanalytical Method" sheetId="5" state="visible" r:id="rId5"/>
    <sheet name="Data Processing" sheetId="6" state="visible" r:id="rId6"/>
  </sheets>
  <definedNames/>
  <calcPr calcId="191028" fullCalcOnLoad="1"/>
</workbook>
</file>

<file path=xl/styles.xml><?xml version="1.0" encoding="utf-8"?>
<styleSheet xmlns="http://schemas.openxmlformats.org/spreadsheetml/2006/main">
  <numFmts count="4">
    <numFmt numFmtId="164" formatCode="0.000_);[Red]\(0.000\)"/>
    <numFmt numFmtId="165" formatCode="0.00000_);[Red]\(0.00000\)"/>
    <numFmt numFmtId="166" formatCode="0.0000_);[Red]\(0.0000\)"/>
    <numFmt numFmtId="167" formatCode="0.00_);[Red]\(0.00\)"/>
  </numFmts>
  <fonts count="75">
    <font>
      <name val="宋体"/>
      <charset val="134"/>
      <color theme="1"/>
      <sz val="11"/>
      <scheme val="minor"/>
    </font>
    <font>
      <name val="宋体"/>
      <charset val="134"/>
      <family val="2"/>
      <color theme="1"/>
      <sz val="11"/>
      <scheme val="minor"/>
    </font>
    <font>
      <name val="宋体"/>
      <family val="2"/>
      <color theme="1"/>
      <sz val="11"/>
      <scheme val="minor"/>
    </font>
    <font>
      <name val="Calibri"/>
      <family val="2"/>
      <b val="1"/>
      <sz val="12"/>
    </font>
    <font>
      <name val="Calibri"/>
      <family val="2"/>
      <sz val="11"/>
    </font>
    <font>
      <name val="Calibri"/>
      <family val="2"/>
      <b val="1"/>
      <sz val="15"/>
    </font>
    <font>
      <name val="Calibri"/>
      <family val="2"/>
      <b val="1"/>
      <sz val="11"/>
    </font>
    <font>
      <name val="宋体"/>
      <charset val="134"/>
      <family val="3"/>
      <color theme="1"/>
      <sz val="11"/>
      <scheme val="minor"/>
    </font>
    <font>
      <name val="Calibri"/>
      <family val="2"/>
      <color theme="1"/>
      <sz val="11"/>
    </font>
    <font>
      <name val="Calibri"/>
      <family val="2"/>
      <b val="1"/>
      <color theme="1"/>
      <sz val="11"/>
    </font>
    <font>
      <name val="Calibri"/>
      <family val="2"/>
      <color rgb="FF000000"/>
      <sz val="11"/>
    </font>
    <font>
      <name val="Calibri"/>
      <family val="2"/>
      <color rgb="FF000000"/>
      <sz val="12"/>
    </font>
    <font>
      <name val="Calibri"/>
      <family val="2"/>
      <b val="1"/>
      <color rgb="FF000000"/>
      <sz val="15"/>
    </font>
    <font>
      <name val="Calibri"/>
      <family val="2"/>
      <b val="1"/>
      <color rgb="FF000000"/>
      <sz val="11"/>
    </font>
    <font>
      <name val="宋体"/>
      <charset val="134"/>
      <family val="3"/>
      <color theme="1"/>
      <sz val="11"/>
    </font>
    <font>
      <name val="宋体"/>
      <charset val="134"/>
      <family val="3"/>
      <color indexed="9"/>
      <sz val="11"/>
    </font>
    <font>
      <name val="宋体"/>
      <charset val="134"/>
      <family val="3"/>
      <b val="1"/>
      <color indexed="52"/>
      <sz val="11"/>
    </font>
    <font>
      <name val="宋体"/>
      <charset val="134"/>
      <family val="3"/>
      <b val="1"/>
      <color indexed="63"/>
      <sz val="11"/>
    </font>
    <font>
      <name val="宋体"/>
      <charset val="134"/>
      <family val="3"/>
      <b val="1"/>
      <color theme="3"/>
      <sz val="11"/>
      <scheme val="minor"/>
    </font>
    <font>
      <name val="宋体"/>
      <charset val="134"/>
      <family val="3"/>
      <color theme="0"/>
      <sz val="11"/>
      <scheme val="minor"/>
    </font>
    <font>
      <name val="宋体"/>
      <charset val="134"/>
      <family val="3"/>
      <color rgb="FF9C0006"/>
      <sz val="11"/>
      <scheme val="minor"/>
    </font>
    <font>
      <name val="宋体"/>
      <charset val="134"/>
      <family val="3"/>
      <b val="1"/>
      <color rgb="FFFA7D00"/>
      <sz val="11"/>
      <scheme val="minor"/>
    </font>
    <font>
      <name val="宋体"/>
      <charset val="134"/>
      <family val="3"/>
      <color indexed="8"/>
      <sz val="11"/>
    </font>
    <font>
      <name val="宋体"/>
      <charset val="134"/>
      <family val="3"/>
      <color rgb="FF3F3F76"/>
      <sz val="11"/>
      <scheme val="minor"/>
    </font>
    <font>
      <name val="宋体"/>
      <charset val="134"/>
      <family val="3"/>
      <sz val="12"/>
    </font>
    <font>
      <name val="宋体"/>
      <charset val="134"/>
      <family val="3"/>
      <color rgb="FFFA7D00"/>
      <sz val="11"/>
      <scheme val="minor"/>
    </font>
    <font>
      <name val="宋体"/>
      <charset val="134"/>
      <family val="3"/>
      <color indexed="52"/>
      <sz val="11"/>
    </font>
    <font>
      <name val="宋体"/>
      <charset val="134"/>
      <family val="3"/>
      <b val="1"/>
      <color indexed="9"/>
      <sz val="11"/>
    </font>
    <font>
      <name val="宋体"/>
      <charset val="134"/>
      <family val="3"/>
      <b val="1"/>
      <color indexed="56"/>
      <sz val="11"/>
    </font>
    <font>
      <name val="宋体"/>
      <charset val="134"/>
      <family val="3"/>
      <b val="1"/>
      <color theme="0"/>
      <sz val="11"/>
      <scheme val="minor"/>
    </font>
    <font>
      <name val="宋体"/>
      <charset val="134"/>
      <family val="3"/>
      <b val="1"/>
      <color rgb="FF3F3F3F"/>
      <sz val="11"/>
      <scheme val="minor"/>
    </font>
    <font>
      <name val="宋体"/>
      <charset val="134"/>
      <family val="3"/>
      <i val="1"/>
      <color rgb="FF7F7F7F"/>
      <sz val="11"/>
      <scheme val="minor"/>
    </font>
    <font>
      <name val="宋体"/>
      <charset val="134"/>
      <family val="3"/>
      <i val="1"/>
      <color indexed="23"/>
      <sz val="11"/>
    </font>
    <font>
      <name val="宋体"/>
      <charset val="134"/>
      <family val="3"/>
      <color indexed="62"/>
      <sz val="11"/>
    </font>
    <font>
      <name val="宋体"/>
      <charset val="134"/>
      <family val="3"/>
      <color rgb="FF9C6500"/>
      <sz val="11"/>
      <scheme val="minor"/>
    </font>
    <font>
      <name val="宋体"/>
      <charset val="134"/>
      <family val="3"/>
      <b val="1"/>
      <color theme="1"/>
      <sz val="11"/>
      <scheme val="minor"/>
    </font>
    <font>
      <name val="宋体"/>
      <charset val="134"/>
      <family val="3"/>
      <b val="1"/>
      <color theme="3"/>
      <sz val="13"/>
      <scheme val="minor"/>
    </font>
    <font>
      <name val="宋体"/>
      <charset val="134"/>
      <family val="3"/>
      <color rgb="FF006100"/>
      <sz val="11"/>
      <scheme val="minor"/>
    </font>
    <font>
      <name val="宋体"/>
      <charset val="134"/>
      <family val="3"/>
      <color rgb="FFFF0000"/>
      <sz val="11"/>
      <scheme val="minor"/>
    </font>
    <font>
      <name val="MS Sans Serif"/>
      <family val="2"/>
      <sz val="10"/>
    </font>
    <font>
      <name val="宋体"/>
      <charset val="134"/>
      <family val="3"/>
      <color indexed="60"/>
      <sz val="11"/>
    </font>
    <font>
      <name val="宋体"/>
      <charset val="134"/>
      <family val="3"/>
      <color indexed="10"/>
      <sz val="11"/>
    </font>
    <font>
      <name val="Calibri"/>
      <family val="2"/>
      <color indexed="8"/>
      <sz val="11"/>
    </font>
    <font>
      <name val="宋体"/>
      <charset val="134"/>
      <family val="3"/>
      <b val="1"/>
      <color theme="3"/>
      <sz val="15"/>
      <scheme val="minor"/>
    </font>
    <font>
      <name val="宋体"/>
      <charset val="134"/>
      <family val="3"/>
      <color theme="3"/>
      <sz val="18"/>
      <scheme val="major"/>
    </font>
    <font>
      <name val="宋体"/>
      <charset val="134"/>
      <family val="3"/>
      <b val="1"/>
      <color theme="3"/>
      <sz val="18"/>
      <scheme val="major"/>
    </font>
    <font>
      <name val="Arial"/>
      <family val="2"/>
      <sz val="10"/>
    </font>
    <font>
      <name val="宋体"/>
      <charset val="134"/>
      <family val="3"/>
      <b val="1"/>
      <color indexed="56"/>
      <sz val="18"/>
    </font>
    <font>
      <name val="宋体"/>
      <charset val="134"/>
      <family val="3"/>
      <b val="1"/>
      <color indexed="56"/>
      <sz val="15"/>
    </font>
    <font>
      <name val="宋体"/>
      <charset val="134"/>
      <family val="3"/>
      <b val="1"/>
      <color indexed="56"/>
      <sz val="13"/>
    </font>
    <font>
      <name val="宋体"/>
      <charset val="134"/>
      <family val="3"/>
      <color indexed="20"/>
      <sz val="11"/>
    </font>
    <font>
      <name val="宋体"/>
      <charset val="134"/>
      <family val="3"/>
      <color theme="1"/>
      <sz val="12"/>
      <scheme val="minor"/>
    </font>
    <font>
      <name val="宋体"/>
      <charset val="134"/>
      <family val="3"/>
      <color indexed="17"/>
      <sz val="11"/>
    </font>
    <font>
      <name val="宋体"/>
      <charset val="134"/>
      <family val="3"/>
      <b val="1"/>
      <color indexed="8"/>
      <sz val="11"/>
    </font>
    <font>
      <name val="Calibri"/>
      <family val="2"/>
      <sz val="11"/>
      <vertAlign val="subscript"/>
    </font>
    <font>
      <name val="Calibri"/>
      <family val="2"/>
      <sz val="11"/>
      <vertAlign val="superscript"/>
    </font>
    <font>
      <name val="Calibri"/>
      <family val="2"/>
      <b val="1"/>
      <sz val="11"/>
      <vertAlign val="subscript"/>
    </font>
    <font>
      <name val="Calibri"/>
      <family val="2"/>
      <b val="1"/>
      <color indexed="8"/>
      <sz val="11"/>
      <vertAlign val="subscript"/>
    </font>
    <font>
      <name val="Calibri"/>
      <family val="2"/>
      <b val="1"/>
      <color indexed="8"/>
      <sz val="11"/>
    </font>
    <font>
      <name val="Calibri"/>
      <family val="2"/>
      <b val="1"/>
      <color indexed="8"/>
      <sz val="11"/>
      <vertAlign val="superscript"/>
    </font>
    <font>
      <name val="Calibri"/>
      <family val="2"/>
      <b val="1"/>
      <color theme="1"/>
      <sz val="11"/>
      <vertAlign val="superscript"/>
    </font>
    <font>
      <name val="Calibri"/>
      <family val="2"/>
      <i val="1"/>
      <color indexed="8"/>
      <sz val="11"/>
    </font>
    <font>
      <name val="宋体"/>
      <charset val="134"/>
      <family val="3"/>
      <sz val="9"/>
      <scheme val="minor"/>
    </font>
    <font>
      <name val="宋体"/>
      <charset val="134"/>
      <family val="2"/>
      <sz val="9"/>
      <scheme val="minor"/>
    </font>
    <font>
      <name val="宋体"/>
      <charset val="134"/>
      <family val="3"/>
      <color theme="1"/>
      <sz val="11"/>
      <scheme val="minor"/>
    </font>
    <font>
      <name val="Calibri"/>
      <family val="2"/>
      <color theme="1"/>
      <sz val="10"/>
    </font>
    <font>
      <name val="Calibri"/>
      <family val="2"/>
      <b val="1"/>
      <i val="1"/>
      <sz val="11"/>
    </font>
    <font>
      <name val="宋体"/>
      <charset val="134"/>
      <family val="3"/>
      <sz val="11"/>
    </font>
    <font>
      <name val="Calibri"/>
      <family val="2"/>
      <b val="1"/>
      <color theme="1"/>
      <sz val="15"/>
    </font>
    <font>
      <name val="Calibri"/>
      <family val="2"/>
      <b val="1"/>
      <color theme="1"/>
      <sz val="10"/>
    </font>
    <font>
      <name val="Calibri"/>
      <family val="2"/>
      <b val="1"/>
      <color rgb="FF000000"/>
      <sz val="10"/>
    </font>
    <font>
      <name val="宋体"/>
      <charset val="134"/>
      <family val="3"/>
      <sz val="9"/>
    </font>
    <font>
      <name val="Calibri"/>
      <family val="2"/>
      <b val="1"/>
      <sz val="10"/>
    </font>
    <font>
      <name val="Calibri"/>
      <family val="2"/>
      <color rgb="FF000000"/>
      <sz val="10"/>
    </font>
    <font>
      <name val="Calibri"/>
      <family val="2"/>
      <sz val="10"/>
    </font>
  </fonts>
  <fills count="61">
    <fill>
      <patternFill/>
    </fill>
    <fill>
      <patternFill patternType="gray125"/>
    </fill>
    <fill>
      <patternFill patternType="solid">
        <fgColor theme="0"/>
        <bgColor indexed="64"/>
      </patternFill>
    </fill>
    <fill>
      <patternFill patternType="solid">
        <fgColor theme="8" tint="0.7998901333658864"/>
        <bgColor indexed="64"/>
      </patternFill>
    </fill>
    <fill>
      <patternFill patternType="solid">
        <fgColor indexed="36"/>
        <bgColor indexed="64"/>
      </patternFill>
    </fill>
    <fill>
      <patternFill patternType="solid">
        <fgColor indexed="22"/>
        <bgColor indexed="64"/>
      </patternFill>
    </fill>
    <fill>
      <patternFill patternType="solid">
        <fgColor theme="5" tint="0.7998901333658864"/>
        <bgColor indexed="64"/>
      </patternFill>
    </fill>
    <fill>
      <patternFill patternType="solid">
        <fgColor theme="4" tint="0.7998901333658864"/>
        <bgColor indexed="64"/>
      </patternFill>
    </fill>
    <fill>
      <patternFill patternType="solid">
        <fgColor theme="7" tint="0.5999938962981048"/>
        <bgColor indexed="64"/>
      </patternFill>
    </fill>
    <fill>
      <patternFill patternType="solid">
        <fgColor theme="6" tint="0.3998840296639912"/>
        <bgColor indexed="64"/>
      </patternFill>
    </fill>
    <fill>
      <patternFill patternType="solid">
        <fgColor theme="4" tint="0.5999938962981048"/>
        <bgColor indexed="64"/>
      </patternFill>
    </fill>
    <fill>
      <patternFill patternType="solid">
        <fgColor rgb="FFFFC7CE"/>
        <bgColor indexed="64"/>
      </patternFill>
    </fill>
    <fill>
      <patternFill patternType="solid">
        <fgColor theme="7" tint="0.7998901333658864"/>
        <bgColor indexed="64"/>
      </patternFill>
    </fill>
    <fill>
      <patternFill patternType="solid">
        <fgColor rgb="FFF2F2F2"/>
        <bgColor indexed="64"/>
      </patternFill>
    </fill>
    <fill>
      <patternFill patternType="solid">
        <fgColor indexed="11"/>
        <bgColor indexed="64"/>
      </patternFill>
    </fill>
    <fill>
      <patternFill patternType="solid">
        <fgColor rgb="FFFFCC99"/>
        <bgColor indexed="64"/>
      </patternFill>
    </fill>
    <fill>
      <patternFill patternType="solid">
        <fgColor indexed="55"/>
        <bgColor indexed="64"/>
      </patternFill>
    </fill>
    <fill>
      <patternFill patternType="solid">
        <fgColor indexed="49"/>
        <bgColor indexed="64"/>
      </patternFill>
    </fill>
    <fill>
      <patternFill patternType="solid">
        <fgColor theme="5" tint="0.3998840296639912"/>
        <bgColor indexed="64"/>
      </patternFill>
    </fill>
    <fill>
      <patternFill patternType="solid">
        <fgColor indexed="29"/>
        <bgColor indexed="64"/>
      </patternFill>
    </fill>
    <fill>
      <patternFill patternType="solid">
        <fgColor theme="9" tint="0.5999938962981048"/>
        <bgColor indexed="64"/>
      </patternFill>
    </fill>
    <fill>
      <patternFill patternType="solid">
        <fgColor theme="8" tint="0.3998840296639912"/>
        <bgColor indexed="64"/>
      </patternFill>
    </fill>
    <fill>
      <patternFill patternType="solid">
        <fgColor rgb="FFA5A5A5"/>
        <bgColor indexed="64"/>
      </patternFill>
    </fill>
    <fill>
      <patternFill patternType="solid">
        <fgColor theme="9"/>
        <bgColor indexed="64"/>
      </patternFill>
    </fill>
    <fill>
      <patternFill patternType="solid">
        <fgColor indexed="27"/>
        <bgColor indexed="64"/>
      </patternFill>
    </fill>
    <fill>
      <patternFill patternType="solid">
        <fgColor indexed="45"/>
        <bgColor indexed="64"/>
      </patternFill>
    </fill>
    <fill>
      <patternFill patternType="solid">
        <fgColor indexed="42"/>
        <bgColor indexed="64"/>
      </patternFill>
    </fill>
    <fill>
      <patternFill patternType="solid">
        <fgColor theme="6" tint="0.7998901333658864"/>
        <bgColor indexed="64"/>
      </patternFill>
    </fill>
    <fill>
      <patternFill patternType="solid">
        <fgColor indexed="62"/>
        <bgColor indexed="64"/>
      </patternFill>
    </fill>
    <fill>
      <patternFill patternType="solid">
        <fgColor rgb="FFFFFFCC"/>
        <bgColor indexed="64"/>
      </patternFill>
    </fill>
    <fill>
      <patternFill patternType="solid">
        <fgColor indexed="31"/>
        <bgColor indexed="64"/>
      </patternFill>
    </fill>
    <fill>
      <patternFill patternType="solid">
        <fgColor indexed="47"/>
        <bgColor indexed="64"/>
      </patternFill>
    </fill>
    <fill>
      <patternFill patternType="solid">
        <fgColor theme="9" tint="0.7998901333658864"/>
        <bgColor indexed="64"/>
      </patternFill>
    </fill>
    <fill>
      <patternFill patternType="solid">
        <fgColor theme="9" tint="0.3998840296639912"/>
        <bgColor indexed="64"/>
      </patternFill>
    </fill>
    <fill>
      <patternFill patternType="solid">
        <fgColor theme="5" tint="0.5999938962981048"/>
        <bgColor indexed="64"/>
      </patternFill>
    </fill>
    <fill>
      <patternFill patternType="solid">
        <fgColor rgb="FFFFEB9C"/>
        <bgColor indexed="64"/>
      </patternFill>
    </fill>
    <fill>
      <patternFill patternType="solid">
        <fgColor theme="7" tint="0.3998840296639912"/>
        <bgColor indexed="64"/>
      </patternFill>
    </fill>
    <fill>
      <patternFill patternType="solid">
        <fgColor theme="4" tint="0.3998840296639912"/>
        <bgColor indexed="64"/>
      </patternFill>
    </fill>
    <fill>
      <patternFill patternType="solid">
        <fgColor indexed="46"/>
        <bgColor indexed="64"/>
      </patternFill>
    </fill>
    <fill>
      <patternFill patternType="solid">
        <fgColor theme="6"/>
        <bgColor indexed="64"/>
      </patternFill>
    </fill>
    <fill>
      <patternFill patternType="solid">
        <fgColor theme="6" tint="0.5999938962981048"/>
        <bgColor indexed="64"/>
      </patternFill>
    </fill>
    <fill>
      <patternFill patternType="solid">
        <fgColor theme="7"/>
        <bgColor indexed="64"/>
      </patternFill>
    </fill>
    <fill>
      <patternFill patternType="solid">
        <fgColor rgb="FFC6EFCE"/>
        <bgColor indexed="64"/>
      </patternFill>
    </fill>
    <fill>
      <patternFill patternType="solid">
        <fgColor theme="8" tint="0.5999938962981048"/>
        <bgColor indexed="64"/>
      </patternFill>
    </fill>
    <fill>
      <patternFill patternType="solid">
        <fgColor indexed="43"/>
        <bgColor indexed="64"/>
      </patternFill>
    </fill>
    <fill>
      <patternFill patternType="solid">
        <fgColor indexed="52"/>
        <bgColor indexed="64"/>
      </patternFill>
    </fill>
    <fill>
      <patternFill patternType="solid">
        <fgColor theme="4"/>
        <bgColor indexed="64"/>
      </patternFill>
    </fill>
    <fill>
      <patternFill patternType="solid">
        <fgColor indexed="44"/>
        <bgColor indexed="64"/>
      </patternFill>
    </fill>
    <fill>
      <patternFill patternType="solid">
        <fgColor theme="5"/>
        <bgColor indexed="64"/>
      </patternFill>
    </fill>
    <fill>
      <patternFill patternType="solid">
        <fgColor indexed="51"/>
        <bgColor indexed="64"/>
      </patternFill>
    </fill>
    <fill>
      <patternFill patternType="solid">
        <fgColor indexed="30"/>
        <bgColor indexed="64"/>
      </patternFill>
    </fill>
    <fill>
      <patternFill patternType="solid">
        <fgColor theme="8"/>
        <bgColor indexed="64"/>
      </patternFill>
    </fill>
    <fill>
      <patternFill patternType="solid">
        <fgColor indexed="57"/>
        <bgColor indexed="64"/>
      </patternFill>
    </fill>
    <fill>
      <patternFill patternType="solid">
        <fgColor indexed="26"/>
        <bgColor indexed="64"/>
      </patternFill>
    </fill>
    <fill>
      <patternFill patternType="solid">
        <fgColor indexed="10"/>
        <bgColor indexed="64"/>
      </patternFill>
    </fill>
    <fill>
      <patternFill patternType="solid">
        <fgColor indexed="53"/>
        <bgColor indexed="64"/>
      </patternFill>
    </fill>
    <fill>
      <patternFill patternType="solid">
        <fgColor rgb="FFFFFF00"/>
        <bgColor rgb="FF000000"/>
      </patternFill>
    </fill>
    <fill>
      <patternFill patternType="solid">
        <fgColor rgb="FF8DB4E2"/>
        <bgColor rgb="FF000000"/>
      </patternFill>
    </fill>
    <fill>
      <patternFill patternType="solid">
        <fgColor rgb="FFD9D9D9"/>
        <bgColor rgb="FF000000"/>
      </patternFill>
    </fill>
    <fill>
      <patternFill patternType="solid">
        <fgColor rgb="FFD8E4BC"/>
        <bgColor rgb="FF000000"/>
      </patternFill>
    </fill>
    <fill>
      <patternFill patternType="solid">
        <fgColor rgb="FFCCC0DA"/>
        <bgColor rgb="FF000000"/>
      </patternFill>
    </fill>
  </fills>
  <borders count="4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medium">
        <color theme="4" tint="0.399884029663991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rgb="FFB2B2B2"/>
      </left>
      <right style="thin">
        <color rgb="FFB2B2B2"/>
      </right>
      <top style="thin">
        <color rgb="FFB2B2B2"/>
      </top>
      <bottom style="thin">
        <color rgb="FFB2B2B2"/>
      </bottom>
      <diagonal/>
    </border>
    <border>
      <left/>
      <right/>
      <top/>
      <bottom style="medium">
        <color indexed="30"/>
      </bottom>
      <diagonal/>
    </border>
    <border>
      <left/>
      <right/>
      <top style="thin">
        <color theme="4"/>
      </top>
      <bottom style="double">
        <color theme="4"/>
      </bottom>
      <diagonal/>
    </border>
    <border>
      <left/>
      <right/>
      <top/>
      <bottom style="thick">
        <color theme="4" tint="0.499984740745262"/>
      </bottom>
      <diagonal/>
    </border>
    <border>
      <left/>
      <right/>
      <top/>
      <bottom style="thick">
        <color theme="4"/>
      </bottom>
      <diagonal/>
    </border>
    <border>
      <left/>
      <right/>
      <top/>
      <bottom style="thick">
        <color indexed="62"/>
      </bottom>
      <diagonal/>
    </border>
    <border>
      <left/>
      <right/>
      <top/>
      <bottom style="thick">
        <color indexed="2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medium">
        <color indexed="64"/>
      </left>
      <right style="thin">
        <color auto="1"/>
      </right>
      <top style="thin">
        <color auto="1"/>
      </top>
      <bottom style="thin">
        <color auto="1"/>
      </bottom>
      <diagonal/>
    </border>
    <border>
      <left style="thin">
        <color auto="1"/>
      </left>
      <right/>
      <top style="medium">
        <color auto="1"/>
      </top>
      <bottom style="thin">
        <color auto="1"/>
      </bottom>
      <diagonal/>
    </border>
    <border>
      <left style="thin">
        <color indexed="64"/>
      </left>
      <right/>
      <top style="thin">
        <color indexed="64"/>
      </top>
      <bottom style="medium">
        <color indexed="64"/>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85">
    <xf numFmtId="0" fontId="0" fillId="0" borderId="0" applyAlignment="1">
      <alignment vertical="center"/>
    </xf>
    <xf numFmtId="0" fontId="17" fillId="5" borderId="7" applyAlignment="1">
      <alignment vertical="center"/>
    </xf>
    <xf numFmtId="0" fontId="64" fillId="12" borderId="0"/>
    <xf numFmtId="0" fontId="21" fillId="13" borderId="9" applyAlignment="1">
      <alignment vertical="center"/>
    </xf>
    <xf numFmtId="0" fontId="23" fillId="15" borderId="9"/>
    <xf numFmtId="0" fontId="24" fillId="0" borderId="0"/>
    <xf numFmtId="0" fontId="24" fillId="0" borderId="0"/>
    <xf numFmtId="0" fontId="15" fillId="19" borderId="0" applyAlignment="1">
      <alignment vertical="center"/>
    </xf>
    <xf numFmtId="9" fontId="64" fillId="0" borderId="0" applyAlignment="1">
      <alignment vertical="center"/>
    </xf>
    <xf numFmtId="0" fontId="19" fillId="23" borderId="0"/>
    <xf numFmtId="0" fontId="23" fillId="15" borderId="9"/>
    <xf numFmtId="0" fontId="22" fillId="24" borderId="0" applyAlignment="1">
      <alignment vertical="center"/>
    </xf>
    <xf numFmtId="0" fontId="64" fillId="3" borderId="0"/>
    <xf numFmtId="0" fontId="16" fillId="5" borderId="6" applyAlignment="1">
      <alignment vertical="center"/>
    </xf>
    <xf numFmtId="0" fontId="64" fillId="8" borderId="0" applyAlignment="1">
      <alignment vertical="center"/>
    </xf>
    <xf numFmtId="0" fontId="22" fillId="25" borderId="0" applyAlignment="1">
      <alignment vertical="center"/>
    </xf>
    <xf numFmtId="0" fontId="64" fillId="6" borderId="0"/>
    <xf numFmtId="0" fontId="18" fillId="0" borderId="8"/>
    <xf numFmtId="0" fontId="22" fillId="26" borderId="0" applyAlignment="1">
      <alignment vertical="center"/>
    </xf>
    <xf numFmtId="0" fontId="64" fillId="27" borderId="0"/>
    <xf numFmtId="0" fontId="64" fillId="7" borderId="0"/>
    <xf numFmtId="0" fontId="64" fillId="7" borderId="0"/>
    <xf numFmtId="0" fontId="26" fillId="0" borderId="13" applyAlignment="1">
      <alignment vertical="center"/>
    </xf>
    <xf numFmtId="0" fontId="64" fillId="6" borderId="0"/>
    <xf numFmtId="0" fontId="30" fillId="13" borderId="10" applyAlignment="1">
      <alignment vertical="center"/>
    </xf>
    <xf numFmtId="0" fontId="25" fillId="0" borderId="12"/>
    <xf numFmtId="0" fontId="64" fillId="27" borderId="0"/>
    <xf numFmtId="0" fontId="22" fillId="30" borderId="0" applyAlignment="1">
      <alignment vertical="center"/>
    </xf>
    <xf numFmtId="0" fontId="64" fillId="7" borderId="0"/>
    <xf numFmtId="0" fontId="30" fillId="13" borderId="10"/>
    <xf numFmtId="0" fontId="64" fillId="3" borderId="0"/>
    <xf numFmtId="0" fontId="16" fillId="5" borderId="6" applyAlignment="1">
      <alignment vertical="center"/>
    </xf>
    <xf numFmtId="0" fontId="21" fillId="13" borderId="9"/>
    <xf numFmtId="0" fontId="34" fillId="35" borderId="0" applyAlignment="1">
      <alignment vertical="center"/>
    </xf>
    <xf numFmtId="0" fontId="18" fillId="0" borderId="8"/>
    <xf numFmtId="0" fontId="64" fillId="7" borderId="0"/>
    <xf numFmtId="0" fontId="64" fillId="6" borderId="0"/>
    <xf numFmtId="0" fontId="64" fillId="6" borderId="0"/>
    <xf numFmtId="0" fontId="18" fillId="0" borderId="0"/>
    <xf numFmtId="0" fontId="19" fillId="37" borderId="0" applyAlignment="1">
      <alignment vertical="center"/>
    </xf>
    <xf numFmtId="0" fontId="64" fillId="27" borderId="0"/>
    <xf numFmtId="0" fontId="64" fillId="27" borderId="0"/>
    <xf numFmtId="0" fontId="22" fillId="0" borderId="0" applyAlignment="1">
      <alignment vertical="center"/>
    </xf>
    <xf numFmtId="0" fontId="22" fillId="38" borderId="0" applyAlignment="1">
      <alignment vertical="center"/>
    </xf>
    <xf numFmtId="0" fontId="64" fillId="12" borderId="0"/>
    <xf numFmtId="0" fontId="24" fillId="0" borderId="0"/>
    <xf numFmtId="0" fontId="19" fillId="18" borderId="0" applyAlignment="1">
      <alignment vertical="center"/>
    </xf>
    <xf numFmtId="0" fontId="64" fillId="12" borderId="0"/>
    <xf numFmtId="0" fontId="64" fillId="12" borderId="0"/>
    <xf numFmtId="0" fontId="19" fillId="9" borderId="0" applyAlignment="1">
      <alignment vertical="center"/>
    </xf>
    <xf numFmtId="0" fontId="64" fillId="3" borderId="0"/>
    <xf numFmtId="0" fontId="64" fillId="3" borderId="0"/>
    <xf numFmtId="0" fontId="64" fillId="32" borderId="0"/>
    <xf numFmtId="0" fontId="22" fillId="31" borderId="0" applyAlignment="1">
      <alignment vertical="center"/>
    </xf>
    <xf numFmtId="0" fontId="64" fillId="32" borderId="0"/>
    <xf numFmtId="0" fontId="34" fillId="35" borderId="0"/>
    <xf numFmtId="0" fontId="19" fillId="36" borderId="0" applyAlignment="1">
      <alignment vertical="center"/>
    </xf>
    <xf numFmtId="0" fontId="64" fillId="32" borderId="0"/>
    <xf numFmtId="0" fontId="64" fillId="32" borderId="0"/>
    <xf numFmtId="0" fontId="64" fillId="7" borderId="0" applyAlignment="1">
      <alignment vertical="center"/>
    </xf>
    <xf numFmtId="0" fontId="64" fillId="6" borderId="0" applyAlignment="1">
      <alignment vertical="center"/>
    </xf>
    <xf numFmtId="0" fontId="17" fillId="5" borderId="7" applyAlignment="1">
      <alignment vertical="center"/>
    </xf>
    <xf numFmtId="0" fontId="36" fillId="0" borderId="18"/>
    <xf numFmtId="0" fontId="64" fillId="27" borderId="0" applyAlignment="1">
      <alignment vertical="center"/>
    </xf>
    <xf numFmtId="0" fontId="64" fillId="0" borderId="0"/>
    <xf numFmtId="0" fontId="64" fillId="12" borderId="0" applyAlignment="1">
      <alignment vertical="center"/>
    </xf>
    <xf numFmtId="0" fontId="64" fillId="3" borderId="0" applyAlignment="1">
      <alignment vertical="center"/>
    </xf>
    <xf numFmtId="0" fontId="64" fillId="32" borderId="0" applyAlignment="1">
      <alignment vertical="center"/>
    </xf>
    <xf numFmtId="0" fontId="64" fillId="10" borderId="0"/>
    <xf numFmtId="0" fontId="64" fillId="10" borderId="0"/>
    <xf numFmtId="0" fontId="64" fillId="10" borderId="0"/>
    <xf numFmtId="0" fontId="64" fillId="34" borderId="0"/>
    <xf numFmtId="0" fontId="64" fillId="34" borderId="0"/>
    <xf numFmtId="0" fontId="64" fillId="34" borderId="0"/>
    <xf numFmtId="0" fontId="64" fillId="40" borderId="0"/>
    <xf numFmtId="0" fontId="37" fillId="42" borderId="0"/>
    <xf numFmtId="0" fontId="64" fillId="40" borderId="0"/>
    <xf numFmtId="0" fontId="64" fillId="40" borderId="0"/>
    <xf numFmtId="0" fontId="64" fillId="8" borderId="0"/>
    <xf numFmtId="0" fontId="64" fillId="8" borderId="0"/>
    <xf numFmtId="0" fontId="64" fillId="8" borderId="0"/>
    <xf numFmtId="0" fontId="38" fillId="0" borderId="0" applyAlignment="1">
      <alignment vertical="center"/>
    </xf>
    <xf numFmtId="0" fontId="64" fillId="43" borderId="0"/>
    <xf numFmtId="0" fontId="64" fillId="43" borderId="0"/>
    <xf numFmtId="0" fontId="64" fillId="43" borderId="0"/>
    <xf numFmtId="0" fontId="41" fillId="0" borderId="0" applyAlignment="1">
      <alignment vertical="center"/>
    </xf>
    <xf numFmtId="0" fontId="64" fillId="20" borderId="0"/>
    <xf numFmtId="0" fontId="24" fillId="0" borderId="0"/>
    <xf numFmtId="0" fontId="64" fillId="20" borderId="0"/>
    <xf numFmtId="0" fontId="64" fillId="0" borderId="0" applyAlignment="1">
      <alignment vertical="center"/>
    </xf>
    <xf numFmtId="0" fontId="64" fillId="20" borderId="0"/>
    <xf numFmtId="0" fontId="64" fillId="10" borderId="0" applyAlignment="1">
      <alignment vertical="center"/>
    </xf>
    <xf numFmtId="0" fontId="19" fillId="46" borderId="0"/>
    <xf numFmtId="0" fontId="22" fillId="47" borderId="0" applyAlignment="1">
      <alignment vertical="center"/>
    </xf>
    <xf numFmtId="0" fontId="19" fillId="48" borderId="0"/>
    <xf numFmtId="0" fontId="64" fillId="10" borderId="0"/>
    <xf numFmtId="0" fontId="64" fillId="34" borderId="0" applyAlignment="1">
      <alignment vertical="center"/>
    </xf>
    <xf numFmtId="0" fontId="22" fillId="19" borderId="0" applyAlignment="1">
      <alignment vertical="center"/>
    </xf>
    <xf numFmtId="0" fontId="64" fillId="34" borderId="0"/>
    <xf numFmtId="0" fontId="64" fillId="40" borderId="0" applyAlignment="1">
      <alignment vertical="center"/>
    </xf>
    <xf numFmtId="0" fontId="22" fillId="14" borderId="0" applyAlignment="1">
      <alignment vertical="center"/>
    </xf>
    <xf numFmtId="0" fontId="64" fillId="40" borderId="0"/>
    <xf numFmtId="0" fontId="22" fillId="38" borderId="0" applyAlignment="1">
      <alignment vertical="center"/>
    </xf>
    <xf numFmtId="0" fontId="64" fillId="8" borderId="0"/>
    <xf numFmtId="0" fontId="64" fillId="43" borderId="0" applyAlignment="1">
      <alignment vertical="center"/>
    </xf>
    <xf numFmtId="0" fontId="22" fillId="47" borderId="0" applyAlignment="1">
      <alignment vertical="center"/>
    </xf>
    <xf numFmtId="0" fontId="64" fillId="43" borderId="0"/>
    <xf numFmtId="0" fontId="64" fillId="20" borderId="0" applyAlignment="1">
      <alignment vertical="center"/>
    </xf>
    <xf numFmtId="0" fontId="22" fillId="49" borderId="0" applyAlignment="1">
      <alignment vertical="center"/>
    </xf>
    <xf numFmtId="0" fontId="34" fillId="35" borderId="0"/>
    <xf numFmtId="0" fontId="64" fillId="20" borderId="0"/>
    <xf numFmtId="0" fontId="19" fillId="37" borderId="0"/>
    <xf numFmtId="0" fontId="19" fillId="37" borderId="0"/>
    <xf numFmtId="0" fontId="22" fillId="0" borderId="0" applyAlignment="1">
      <alignment vertical="center"/>
    </xf>
    <xf numFmtId="0" fontId="45" fillId="0" borderId="0"/>
    <xf numFmtId="0" fontId="19" fillId="18" borderId="0"/>
    <xf numFmtId="0" fontId="64" fillId="0" borderId="0" applyAlignment="1">
      <alignment vertical="center"/>
    </xf>
    <xf numFmtId="0" fontId="19" fillId="18" borderId="0"/>
    <xf numFmtId="0" fontId="33" fillId="31" borderId="6" applyAlignment="1">
      <alignment vertical="center"/>
    </xf>
    <xf numFmtId="0" fontId="46" fillId="0" borderId="0"/>
    <xf numFmtId="0" fontId="44" fillId="0" borderId="0"/>
    <xf numFmtId="0" fontId="19" fillId="9" borderId="0"/>
    <xf numFmtId="0" fontId="64" fillId="0" borderId="0" applyAlignment="1">
      <alignment vertical="center"/>
    </xf>
    <xf numFmtId="0" fontId="20" fillId="11" borderId="0"/>
    <xf numFmtId="0" fontId="19" fillId="9" borderId="0"/>
    <xf numFmtId="0" fontId="19" fillId="36" borderId="0"/>
    <xf numFmtId="0" fontId="19" fillId="36" borderId="0"/>
    <xf numFmtId="0" fontId="19" fillId="41" borderId="0" applyAlignment="1">
      <alignment vertical="center"/>
    </xf>
    <xf numFmtId="0" fontId="19" fillId="21" borderId="0"/>
    <xf numFmtId="0" fontId="19" fillId="21" borderId="0"/>
    <xf numFmtId="0" fontId="15" fillId="4" borderId="0" applyAlignment="1">
      <alignment vertical="center"/>
    </xf>
    <xf numFmtId="0" fontId="19" fillId="33" borderId="0"/>
    <xf numFmtId="0" fontId="19" fillId="33" borderId="0"/>
    <xf numFmtId="0" fontId="15" fillId="50" borderId="0" applyAlignment="1">
      <alignment vertical="center"/>
    </xf>
    <xf numFmtId="0" fontId="19" fillId="37" borderId="0"/>
    <xf numFmtId="0" fontId="64" fillId="0" borderId="0" applyAlignment="1">
      <alignment vertical="center"/>
    </xf>
    <xf numFmtId="0" fontId="19" fillId="18" borderId="0"/>
    <xf numFmtId="0" fontId="15" fillId="14" borderId="0" applyAlignment="1">
      <alignment vertical="center"/>
    </xf>
    <xf numFmtId="0" fontId="19" fillId="9" borderId="0"/>
    <xf numFmtId="0" fontId="15" fillId="4" borderId="0" applyAlignment="1">
      <alignment vertical="center"/>
    </xf>
    <xf numFmtId="0" fontId="19" fillId="36" borderId="0"/>
    <xf numFmtId="0" fontId="19" fillId="21" borderId="0" applyAlignment="1">
      <alignment vertical="center"/>
    </xf>
    <xf numFmtId="0" fontId="15" fillId="17" borderId="0" applyAlignment="1">
      <alignment vertical="center"/>
    </xf>
    <xf numFmtId="0" fontId="19" fillId="21" borderId="0"/>
    <xf numFmtId="0" fontId="19" fillId="33" borderId="0" applyAlignment="1">
      <alignment vertical="center"/>
    </xf>
    <xf numFmtId="0" fontId="15" fillId="45" borderId="0" applyAlignment="1">
      <alignment vertical="center"/>
    </xf>
    <xf numFmtId="0" fontId="19" fillId="33" borderId="0"/>
    <xf numFmtId="0" fontId="19" fillId="46" borderId="0"/>
    <xf numFmtId="0" fontId="19" fillId="48" borderId="0"/>
    <xf numFmtId="0" fontId="19" fillId="39" borderId="0"/>
    <xf numFmtId="0" fontId="19" fillId="39" borderId="0"/>
    <xf numFmtId="0" fontId="19" fillId="41" borderId="0"/>
    <xf numFmtId="0" fontId="19" fillId="23" borderId="0"/>
    <xf numFmtId="0" fontId="19" fillId="41" borderId="0"/>
    <xf numFmtId="0" fontId="19" fillId="51" borderId="0"/>
    <xf numFmtId="0" fontId="19" fillId="51" borderId="0"/>
    <xf numFmtId="0" fontId="20" fillId="11" borderId="0"/>
    <xf numFmtId="0" fontId="21" fillId="13" borderId="9"/>
    <xf numFmtId="0" fontId="21" fillId="13" borderId="9"/>
    <xf numFmtId="0" fontId="29" fillId="22" borderId="11"/>
    <xf numFmtId="0" fontId="29" fillId="22" borderId="11"/>
    <xf numFmtId="0" fontId="19" fillId="46" borderId="0" applyAlignment="1">
      <alignment vertical="center"/>
    </xf>
    <xf numFmtId="0" fontId="31" fillId="0" borderId="0"/>
    <xf numFmtId="0" fontId="31" fillId="0" borderId="0"/>
    <xf numFmtId="0" fontId="24" fillId="0" borderId="0"/>
    <xf numFmtId="0" fontId="37" fillId="42" borderId="0"/>
    <xf numFmtId="0" fontId="37" fillId="42" borderId="0"/>
    <xf numFmtId="0" fontId="64" fillId="0" borderId="0" applyAlignment="1">
      <alignment vertical="center"/>
    </xf>
    <xf numFmtId="0" fontId="43" fillId="0" borderId="19"/>
    <xf numFmtId="0" fontId="43" fillId="0" borderId="19"/>
    <xf numFmtId="0" fontId="36" fillId="0" borderId="18"/>
    <xf numFmtId="0" fontId="18" fillId="0" borderId="0"/>
    <xf numFmtId="0" fontId="29" fillId="22" borderId="11" applyAlignment="1">
      <alignment vertical="center"/>
    </xf>
    <xf numFmtId="0" fontId="18" fillId="0" borderId="0"/>
    <xf numFmtId="0" fontId="25" fillId="0" borderId="12"/>
    <xf numFmtId="0" fontId="25" fillId="0" borderId="12"/>
    <xf numFmtId="0" fontId="64" fillId="0" borderId="0"/>
    <xf numFmtId="0" fontId="39" fillId="0" borderId="0" applyAlignment="1">
      <alignment vertical="top"/>
    </xf>
    <xf numFmtId="0" fontId="64" fillId="0" borderId="0" applyAlignment="1">
      <alignment vertical="center"/>
    </xf>
    <xf numFmtId="0" fontId="64" fillId="0" borderId="0" applyAlignment="1">
      <alignment vertical="center"/>
    </xf>
    <xf numFmtId="0" fontId="64" fillId="0" borderId="0"/>
    <xf numFmtId="0" fontId="64" fillId="0" borderId="0" applyAlignment="1">
      <alignment vertical="center"/>
    </xf>
    <xf numFmtId="0" fontId="64" fillId="0" borderId="0"/>
    <xf numFmtId="0" fontId="64" fillId="0" borderId="0" applyAlignment="1">
      <alignment vertical="center"/>
    </xf>
    <xf numFmtId="0" fontId="46" fillId="0" borderId="0"/>
    <xf numFmtId="0" fontId="42" fillId="0" borderId="0" applyAlignment="1">
      <alignment vertical="center"/>
    </xf>
    <xf numFmtId="0" fontId="64" fillId="0" borderId="0" applyAlignment="1">
      <alignment vertical="center"/>
    </xf>
    <xf numFmtId="0" fontId="64" fillId="29" borderId="15"/>
    <xf numFmtId="0" fontId="45" fillId="0" borderId="0" applyAlignment="1">
      <alignment vertical="center"/>
    </xf>
    <xf numFmtId="0" fontId="64" fillId="29" borderId="15"/>
    <xf numFmtId="0" fontId="47" fillId="0" borderId="0" applyAlignment="1">
      <alignment vertical="center"/>
    </xf>
    <xf numFmtId="0" fontId="64" fillId="29" borderId="15"/>
    <xf numFmtId="0" fontId="30" fillId="13" borderId="10"/>
    <xf numFmtId="0" fontId="15" fillId="52" borderId="0" applyAlignment="1">
      <alignment vertical="center"/>
    </xf>
    <xf numFmtId="0" fontId="64" fillId="0" borderId="0" applyAlignment="1">
      <alignment vertical="center"/>
    </xf>
    <xf numFmtId="0" fontId="30" fillId="13" borderId="10"/>
    <xf numFmtId="0" fontId="64" fillId="0" borderId="0" applyAlignment="1">
      <alignment vertical="center"/>
    </xf>
    <xf numFmtId="0" fontId="45" fillId="0" borderId="0"/>
    <xf numFmtId="0" fontId="35" fillId="0" borderId="17"/>
    <xf numFmtId="0" fontId="35" fillId="0" borderId="17"/>
    <xf numFmtId="0" fontId="38" fillId="0" borderId="0"/>
    <xf numFmtId="0" fontId="38" fillId="0" borderId="0"/>
    <xf numFmtId="0" fontId="20" fillId="11" borderId="0"/>
    <xf numFmtId="9" fontId="46" fillId="0" borderId="0"/>
    <xf numFmtId="0" fontId="43" fillId="0" borderId="19" applyAlignment="1">
      <alignment vertical="center"/>
    </xf>
    <xf numFmtId="0" fontId="48" fillId="0" borderId="20" applyAlignment="1">
      <alignment vertical="center"/>
    </xf>
    <xf numFmtId="0" fontId="43" fillId="0" borderId="19"/>
    <xf numFmtId="0" fontId="36" fillId="0" borderId="18" applyAlignment="1">
      <alignment vertical="center"/>
    </xf>
    <xf numFmtId="0" fontId="49" fillId="0" borderId="21" applyAlignment="1">
      <alignment vertical="center"/>
    </xf>
    <xf numFmtId="0" fontId="36" fillId="0" borderId="18"/>
    <xf numFmtId="0" fontId="18" fillId="0" borderId="8" applyAlignment="1">
      <alignment vertical="center"/>
    </xf>
    <xf numFmtId="0" fontId="28" fillId="0" borderId="16" applyAlignment="1">
      <alignment vertical="center"/>
    </xf>
    <xf numFmtId="0" fontId="18" fillId="0" borderId="8"/>
    <xf numFmtId="0" fontId="18" fillId="0" borderId="0" applyAlignment="1">
      <alignment vertical="center"/>
    </xf>
    <xf numFmtId="0" fontId="28" fillId="0" borderId="0" applyAlignment="1">
      <alignment vertical="center"/>
    </xf>
    <xf numFmtId="0" fontId="44" fillId="0" borderId="0"/>
    <xf numFmtId="0" fontId="20" fillId="11" borderId="0" applyAlignment="1">
      <alignment vertical="center"/>
    </xf>
    <xf numFmtId="0" fontId="50" fillId="25" borderId="0" applyAlignment="1">
      <alignment vertical="center"/>
    </xf>
    <xf numFmtId="0" fontId="64" fillId="0" borderId="0" applyAlignment="1">
      <alignment vertical="center"/>
    </xf>
    <xf numFmtId="0" fontId="64" fillId="0" borderId="0" applyAlignment="1">
      <alignment vertical="center"/>
    </xf>
    <xf numFmtId="0" fontId="64" fillId="0" borderId="0" applyAlignment="1">
      <alignment vertical="center"/>
    </xf>
    <xf numFmtId="0" fontId="64" fillId="0" borderId="0"/>
    <xf numFmtId="0" fontId="64" fillId="0" borderId="0" applyAlignment="1">
      <alignment vertical="center"/>
    </xf>
    <xf numFmtId="0" fontId="64" fillId="0" borderId="0" applyAlignment="1">
      <alignment vertical="center"/>
    </xf>
    <xf numFmtId="0" fontId="64" fillId="0" borderId="0" applyAlignment="1">
      <alignment vertical="center"/>
    </xf>
    <xf numFmtId="0" fontId="64" fillId="0" borderId="0" applyAlignment="1">
      <alignment vertical="center"/>
    </xf>
    <xf numFmtId="0" fontId="64" fillId="0" borderId="0" applyAlignment="1">
      <alignment vertical="center"/>
    </xf>
    <xf numFmtId="0" fontId="34" fillId="35" borderId="0"/>
    <xf numFmtId="0" fontId="64" fillId="0" borderId="0" applyAlignment="1">
      <alignment vertical="center"/>
    </xf>
    <xf numFmtId="0" fontId="64" fillId="0" borderId="0" applyAlignment="1">
      <alignment vertical="center"/>
    </xf>
    <xf numFmtId="0" fontId="64" fillId="0" borderId="0" applyAlignment="1">
      <alignment vertical="center"/>
    </xf>
    <xf numFmtId="0" fontId="64" fillId="0" borderId="0" applyAlignment="1">
      <alignment vertical="center"/>
    </xf>
    <xf numFmtId="0" fontId="64" fillId="0" borderId="0"/>
    <xf numFmtId="0" fontId="46" fillId="0" borderId="0"/>
    <xf numFmtId="0" fontId="64" fillId="0" borderId="0" applyAlignment="1">
      <alignment vertical="center"/>
    </xf>
    <xf numFmtId="0" fontId="64" fillId="0" borderId="0" applyAlignment="1">
      <alignment vertical="center"/>
    </xf>
    <xf numFmtId="0" fontId="64" fillId="29" borderId="15"/>
    <xf numFmtId="0" fontId="64" fillId="0" borderId="0" applyAlignment="1">
      <alignment vertical="center"/>
    </xf>
    <xf numFmtId="0" fontId="64" fillId="0" borderId="0" applyAlignment="1">
      <alignment vertical="center"/>
    </xf>
    <xf numFmtId="0" fontId="64" fillId="0" borderId="0" applyAlignment="1">
      <alignment vertical="center"/>
    </xf>
    <xf numFmtId="0" fontId="64" fillId="0" borderId="0" applyAlignment="1">
      <alignment vertical="center"/>
    </xf>
    <xf numFmtId="0" fontId="19" fillId="23" borderId="0" applyAlignment="1">
      <alignment vertical="center"/>
    </xf>
    <xf numFmtId="0" fontId="51" fillId="0" borderId="0"/>
    <xf numFmtId="0" fontId="64" fillId="29" borderId="15" applyAlignment="1">
      <alignment vertical="center"/>
    </xf>
    <xf numFmtId="0" fontId="24" fillId="0" borderId="0"/>
    <xf numFmtId="0" fontId="22" fillId="53" borderId="22" applyAlignment="1">
      <alignment vertical="center"/>
    </xf>
    <xf numFmtId="0" fontId="64" fillId="0" borderId="0" applyAlignment="1">
      <alignment vertical="center"/>
    </xf>
    <xf numFmtId="0" fontId="64" fillId="0" borderId="0" applyAlignment="1">
      <alignment vertical="center"/>
    </xf>
    <xf numFmtId="0" fontId="64" fillId="0" borderId="0"/>
    <xf numFmtId="0" fontId="37" fillId="42" borderId="0" applyAlignment="1">
      <alignment vertical="center"/>
    </xf>
    <xf numFmtId="0" fontId="52" fillId="26" borderId="0" applyAlignment="1">
      <alignment vertical="center"/>
    </xf>
    <xf numFmtId="0" fontId="35" fillId="0" borderId="17" applyAlignment="1">
      <alignment vertical="center"/>
    </xf>
    <xf numFmtId="0" fontId="53" fillId="0" borderId="23" applyAlignment="1">
      <alignment vertical="center"/>
    </xf>
    <xf numFmtId="0" fontId="53" fillId="0" borderId="23" applyAlignment="1">
      <alignment vertical="center"/>
    </xf>
    <xf numFmtId="0" fontId="35" fillId="0" borderId="17"/>
    <xf numFmtId="0" fontId="27" fillId="16" borderId="14" applyAlignment="1">
      <alignment vertical="center"/>
    </xf>
    <xf numFmtId="0" fontId="29" fillId="22" borderId="11"/>
    <xf numFmtId="0" fontId="31" fillId="0" borderId="0" applyAlignment="1">
      <alignment vertical="center"/>
    </xf>
    <xf numFmtId="0" fontId="32" fillId="0" borderId="0" applyAlignment="1">
      <alignment vertical="center"/>
    </xf>
    <xf numFmtId="0" fontId="31" fillId="0" borderId="0"/>
    <xf numFmtId="0" fontId="38" fillId="0" borderId="0"/>
    <xf numFmtId="0" fontId="25" fillId="0" borderId="12" applyAlignment="1">
      <alignment vertical="center"/>
    </xf>
    <xf numFmtId="0" fontId="15" fillId="28" borderId="0" applyAlignment="1">
      <alignment vertical="center"/>
    </xf>
    <xf numFmtId="0" fontId="19" fillId="46" borderId="0"/>
    <xf numFmtId="0" fontId="19" fillId="48" borderId="0" applyAlignment="1">
      <alignment vertical="center"/>
    </xf>
    <xf numFmtId="0" fontId="15" fillId="54" borderId="0" applyAlignment="1">
      <alignment vertical="center"/>
    </xf>
    <xf numFmtId="0" fontId="19" fillId="48" borderId="0"/>
    <xf numFmtId="0" fontId="19" fillId="39" borderId="0" applyAlignment="1">
      <alignment vertical="center"/>
    </xf>
    <xf numFmtId="0" fontId="19" fillId="39" borderId="0"/>
    <xf numFmtId="0" fontId="19" fillId="41" borderId="0"/>
    <xf numFmtId="0" fontId="19" fillId="51" borderId="0" applyAlignment="1">
      <alignment vertical="center"/>
    </xf>
    <xf numFmtId="0" fontId="15" fillId="17" borderId="0" applyAlignment="1">
      <alignment vertical="center"/>
    </xf>
    <xf numFmtId="0" fontId="19" fillId="51" borderId="0"/>
    <xf numFmtId="0" fontId="15" fillId="55" borderId="0" applyAlignment="1">
      <alignment vertical="center"/>
    </xf>
    <xf numFmtId="0" fontId="19" fillId="23" borderId="0"/>
    <xf numFmtId="0" fontId="40" fillId="44" borderId="0" applyAlignment="1">
      <alignment vertical="center"/>
    </xf>
    <xf numFmtId="0" fontId="23" fillId="15" borderId="9" applyAlignment="1">
      <alignment vertical="center"/>
    </xf>
    <xf numFmtId="0" fontId="33" fillId="31" borderId="6" applyAlignment="1">
      <alignment vertical="center"/>
    </xf>
    <xf numFmtId="0" fontId="23" fillId="15" borderId="9"/>
    <xf numFmtId="0" fontId="64" fillId="29" borderId="15" applyAlignment="1">
      <alignment vertical="center"/>
    </xf>
    <xf numFmtId="0" fontId="22" fillId="53" borderId="22" applyAlignment="1">
      <alignment vertical="center"/>
    </xf>
    <xf numFmtId="9" fontId="64" fillId="0" borderId="0" applyAlignment="1">
      <alignment vertical="center"/>
    </xf>
    <xf numFmtId="9" fontId="2" fillId="0" borderId="0" applyAlignment="1">
      <alignment vertical="center"/>
    </xf>
    <xf numFmtId="0" fontId="64" fillId="0" borderId="0" applyAlignment="1">
      <alignment vertical="center"/>
    </xf>
    <xf numFmtId="0" fontId="1" fillId="0" borderId="0" applyAlignment="1">
      <alignment vertical="center"/>
    </xf>
  </cellStyleXfs>
  <cellXfs count="147">
    <xf numFmtId="0" fontId="0" fillId="0" borderId="0" applyAlignment="1" pivotButton="0" quotePrefix="0" xfId="0">
      <alignment vertical="center"/>
    </xf>
    <xf numFmtId="49" fontId="14" fillId="0" borderId="0" applyAlignment="1" pivotButton="0" quotePrefix="0" xfId="0">
      <alignment vertical="center"/>
    </xf>
    <xf numFmtId="49" fontId="9" fillId="0" borderId="4" applyAlignment="1" pivotButton="0" quotePrefix="0" xfId="196">
      <alignment horizontal="left" vertical="center" wrapText="1"/>
    </xf>
    <xf numFmtId="49" fontId="8" fillId="2" borderId="4" applyAlignment="1" pivotButton="0" quotePrefix="0" xfId="0">
      <alignment vertical="center" wrapText="1"/>
    </xf>
    <xf numFmtId="49" fontId="8" fillId="2" borderId="4" applyAlignment="1" pivotButton="0" quotePrefix="0" xfId="0">
      <alignment vertical="center"/>
    </xf>
    <xf numFmtId="49" fontId="8" fillId="2" borderId="4" applyAlignment="1" pivotButton="0" quotePrefix="0" xfId="0">
      <alignment horizontal="left" vertical="center"/>
    </xf>
    <xf numFmtId="49" fontId="4" fillId="2" borderId="4" applyAlignment="1" applyProtection="1" pivotButton="0" quotePrefix="0" xfId="0">
      <alignment vertical="center" wrapText="1"/>
      <protection locked="0" hidden="0"/>
    </xf>
    <xf numFmtId="49" fontId="8" fillId="2" borderId="4" applyAlignment="1" pivotButton="0" quotePrefix="0" xfId="196">
      <alignment horizontal="left" vertical="center" wrapText="1"/>
    </xf>
    <xf numFmtId="49" fontId="13" fillId="0" borderId="4" applyAlignment="1" pivotButton="0" quotePrefix="0" xfId="0">
      <alignment horizontal="left" vertical="center" wrapText="1"/>
    </xf>
    <xf numFmtId="49" fontId="9" fillId="0" borderId="1" applyAlignment="1" pivotButton="0" quotePrefix="0" xfId="0">
      <alignment horizontal="center" vertical="center" wrapText="1"/>
    </xf>
    <xf numFmtId="49" fontId="8" fillId="0" borderId="24" applyAlignment="1" pivotButton="0" quotePrefix="0" xfId="0">
      <alignment horizontal="center" vertical="center" wrapText="1"/>
    </xf>
    <xf numFmtId="49" fontId="8" fillId="0" borderId="28" applyAlignment="1" pivotButton="0" quotePrefix="0" xfId="0">
      <alignment horizontal="center" vertical="center" wrapText="1"/>
    </xf>
    <xf numFmtId="49" fontId="7" fillId="0" borderId="0" applyAlignment="1" pivotButton="0" quotePrefix="0" xfId="64">
      <alignment vertical="center"/>
    </xf>
    <xf numFmtId="49" fontId="4" fillId="0" borderId="0" applyAlignment="1" pivotButton="0" quotePrefix="0" xfId="64">
      <alignment vertical="center"/>
    </xf>
    <xf numFmtId="49" fontId="4" fillId="0" borderId="0" applyAlignment="1" pivotButton="0" quotePrefix="0" xfId="0">
      <alignment vertical="center"/>
    </xf>
    <xf numFmtId="49" fontId="6" fillId="0" borderId="1" applyAlignment="1" pivotButton="0" quotePrefix="0" xfId="122">
      <alignment horizontal="center" vertical="center" wrapText="1"/>
    </xf>
    <xf numFmtId="49" fontId="4" fillId="0" borderId="2" applyAlignment="1" pivotButton="0" quotePrefix="0" xfId="122">
      <alignment horizontal="center" vertical="center" wrapText="1"/>
    </xf>
    <xf numFmtId="49" fontId="4" fillId="0" borderId="25" applyAlignment="1" pivotButton="0" quotePrefix="0" xfId="122">
      <alignment horizontal="center" vertical="center" wrapText="1"/>
    </xf>
    <xf numFmtId="49" fontId="4" fillId="0" borderId="3" applyAlignment="1" pivotButton="0" quotePrefix="0" xfId="122">
      <alignment horizontal="center" vertical="center" wrapText="1"/>
    </xf>
    <xf numFmtId="49" fontId="4" fillId="0" borderId="26" applyAlignment="1" pivotButton="0" quotePrefix="0" xfId="122">
      <alignment horizontal="center" vertical="center" wrapText="1"/>
    </xf>
    <xf numFmtId="49" fontId="6" fillId="0" borderId="1" applyAlignment="1" pivotButton="0" quotePrefix="0" xfId="222">
      <alignment horizontal="center" vertical="center" wrapText="1"/>
    </xf>
    <xf numFmtId="49" fontId="6" fillId="0" borderId="2" applyAlignment="1" pivotButton="0" quotePrefix="0" xfId="222">
      <alignment horizontal="center" vertical="center" wrapText="1"/>
    </xf>
    <xf numFmtId="49" fontId="6" fillId="0" borderId="3" applyAlignment="1" pivotButton="0" quotePrefix="0" xfId="222">
      <alignment horizontal="center" vertical="center" wrapText="1"/>
    </xf>
    <xf numFmtId="2" fontId="9" fillId="0" borderId="2" applyAlignment="1" pivotButton="0" quotePrefix="0" xfId="0">
      <alignment horizontal="center" vertical="center" wrapText="1"/>
    </xf>
    <xf numFmtId="2" fontId="9" fillId="0" borderId="3" applyAlignment="1" pivotButton="0" quotePrefix="0" xfId="0">
      <alignment horizontal="center" vertical="center" wrapText="1"/>
    </xf>
    <xf numFmtId="2" fontId="8" fillId="0" borderId="4" applyAlignment="1" pivotButton="0" quotePrefix="0" xfId="0">
      <alignment horizontal="center" vertical="center" wrapText="1"/>
    </xf>
    <xf numFmtId="2" fontId="8" fillId="0" borderId="27" applyAlignment="1" pivotButton="0" quotePrefix="0" xfId="0">
      <alignment horizontal="center" vertical="center" wrapText="1"/>
    </xf>
    <xf numFmtId="2" fontId="8" fillId="0" borderId="29" applyAlignment="1" pivotButton="0" quotePrefix="0" xfId="0">
      <alignment horizontal="center" vertical="center" wrapText="1"/>
    </xf>
    <xf numFmtId="2" fontId="13" fillId="0" borderId="2" applyAlignment="1" pivotButton="0" quotePrefix="0" xfId="0">
      <alignment horizontal="center" vertical="center" wrapText="1"/>
    </xf>
    <xf numFmtId="2" fontId="13" fillId="0" borderId="3" applyAlignment="1" pivotButton="0" quotePrefix="0" xfId="0">
      <alignment horizontal="center" vertical="center" wrapText="1"/>
    </xf>
    <xf numFmtId="2" fontId="11" fillId="0" borderId="0" applyAlignment="1" pivotButton="0" quotePrefix="0" xfId="0">
      <alignment vertical="center" wrapText="1"/>
    </xf>
    <xf numFmtId="49" fontId="11" fillId="0" borderId="0" applyAlignment="1" pivotButton="0" quotePrefix="0" xfId="0">
      <alignment vertical="center" wrapText="1"/>
    </xf>
    <xf numFmtId="49" fontId="10" fillId="0" borderId="0" applyAlignment="1" pivotButton="0" quotePrefix="0" xfId="0">
      <alignment vertical="center" wrapText="1"/>
    </xf>
    <xf numFmtId="2" fontId="10" fillId="0" borderId="0" applyAlignment="1" pivotButton="0" quotePrefix="0" xfId="0">
      <alignment vertical="center" wrapText="1"/>
    </xf>
    <xf numFmtId="49" fontId="10" fillId="0" borderId="0" applyAlignment="1" pivotButton="0" quotePrefix="0" xfId="0">
      <alignment horizontal="left" vertical="center" wrapText="1"/>
    </xf>
    <xf numFmtId="2" fontId="4" fillId="0" borderId="0" applyAlignment="1" pivotButton="0" quotePrefix="0" xfId="0">
      <alignment horizontal="center" vertical="center" wrapText="1"/>
    </xf>
    <xf numFmtId="49" fontId="4" fillId="0" borderId="0" applyAlignment="1" pivotButton="0" quotePrefix="0" xfId="0">
      <alignment horizontal="left" vertical="center" wrapText="1"/>
    </xf>
    <xf numFmtId="49" fontId="3" fillId="0" borderId="0" applyAlignment="1" pivotButton="0" quotePrefix="0" xfId="0">
      <alignment horizontal="left" vertical="center" wrapText="1"/>
    </xf>
    <xf numFmtId="49" fontId="4" fillId="2" borderId="30" applyAlignment="1" pivotButton="0" quotePrefix="0" xfId="0">
      <alignment horizontal="center" vertical="center" wrapText="1"/>
    </xf>
    <xf numFmtId="49" fontId="4" fillId="2" borderId="29" applyAlignment="1" pivotButton="0" quotePrefix="0" xfId="0">
      <alignment horizontal="center" vertical="center" wrapText="1"/>
    </xf>
    <xf numFmtId="2" fontId="8" fillId="0" borderId="30" applyAlignment="1" pivotButton="0" quotePrefix="0" xfId="0">
      <alignment horizontal="center" vertical="center" wrapText="1"/>
    </xf>
    <xf numFmtId="164" fontId="4" fillId="2" borderId="30" applyAlignment="1" pivotButton="0" quotePrefix="0" xfId="0">
      <alignment horizontal="center" vertical="center" wrapText="1"/>
    </xf>
    <xf numFmtId="0" fontId="9" fillId="0" borderId="1" applyAlignment="1" pivotButton="0" quotePrefix="0" xfId="0">
      <alignment horizontal="center" vertical="center" wrapText="1"/>
    </xf>
    <xf numFmtId="0" fontId="9" fillId="2" borderId="2" applyAlignment="1" pivotButton="0" quotePrefix="0" xfId="223">
      <alignment horizontal="center" vertical="center" wrapText="1"/>
    </xf>
    <xf numFmtId="0" fontId="9" fillId="2" borderId="3" applyAlignment="1" pivotButton="0" quotePrefix="0" xfId="223">
      <alignment horizontal="center" vertical="center" wrapText="1"/>
    </xf>
    <xf numFmtId="0" fontId="8" fillId="0" borderId="24" applyAlignment="1" pivotButton="0" quotePrefix="0" xfId="0">
      <alignment horizontal="center" vertical="center" wrapText="1"/>
    </xf>
    <xf numFmtId="0" fontId="8" fillId="2" borderId="4" applyAlignment="1" pivotButton="0" quotePrefix="0" xfId="223">
      <alignment horizontal="center" vertical="center" wrapText="1"/>
    </xf>
    <xf numFmtId="10" fontId="4" fillId="0" borderId="27" applyAlignment="1" pivotButton="0" quotePrefix="0" xfId="281">
      <alignment horizontal="center" vertical="center" wrapText="1"/>
    </xf>
    <xf numFmtId="0" fontId="8" fillId="2" borderId="4" applyAlignment="1" pivotButton="0" quotePrefix="0" xfId="196">
      <alignment horizontal="left" vertical="center" wrapText="1"/>
    </xf>
    <xf numFmtId="2" fontId="8" fillId="0" borderId="4" applyAlignment="1" pivotButton="0" quotePrefix="0" xfId="0">
      <alignment horizontal="center" vertical="center"/>
    </xf>
    <xf numFmtId="2" fontId="8" fillId="0" borderId="27" applyAlignment="1" pivotButton="0" quotePrefix="0" xfId="0">
      <alignment horizontal="center" vertical="center"/>
    </xf>
    <xf numFmtId="2" fontId="10" fillId="0" borderId="4" applyAlignment="1" pivotButton="0" quotePrefix="0" xfId="0">
      <alignment horizontal="center" vertical="center"/>
    </xf>
    <xf numFmtId="2" fontId="8" fillId="0" borderId="30" applyAlignment="1" pivotButton="0" quotePrefix="0" xfId="0">
      <alignment horizontal="center" vertical="center"/>
    </xf>
    <xf numFmtId="2" fontId="8" fillId="0" borderId="29" applyAlignment="1" pivotButton="0" quotePrefix="0" xfId="0">
      <alignment horizontal="center" vertical="center"/>
    </xf>
    <xf numFmtId="49" fontId="4" fillId="0" borderId="0" applyAlignment="1" pivotButton="0" quotePrefix="0" xfId="0">
      <alignment vertical="center" wrapText="1"/>
    </xf>
    <xf numFmtId="165" fontId="4" fillId="0" borderId="0" applyAlignment="1" pivotButton="0" quotePrefix="0" xfId="0">
      <alignment vertical="center" wrapText="1"/>
    </xf>
    <xf numFmtId="0" fontId="70" fillId="57" borderId="33" applyAlignment="1" pivotButton="0" quotePrefix="0" xfId="283">
      <alignment horizontal="center" vertical="center" wrapText="1"/>
    </xf>
    <xf numFmtId="11" fontId="70" fillId="57" borderId="33" applyAlignment="1" pivotButton="0" quotePrefix="0" xfId="283">
      <alignment horizontal="center" vertical="center" wrapText="1"/>
    </xf>
    <xf numFmtId="166" fontId="70" fillId="57" borderId="33" applyAlignment="1" pivotButton="0" quotePrefix="0" xfId="283">
      <alignment horizontal="center" vertical="center" wrapText="1"/>
    </xf>
    <xf numFmtId="167" fontId="70" fillId="57" borderId="33" applyAlignment="1" pivotButton="0" quotePrefix="0" xfId="283">
      <alignment horizontal="center" vertical="center" wrapText="1"/>
    </xf>
    <xf numFmtId="167" fontId="72" fillId="57" borderId="33" applyAlignment="1" pivotButton="0" quotePrefix="0" xfId="283">
      <alignment horizontal="center" vertical="center" wrapText="1"/>
    </xf>
    <xf numFmtId="0" fontId="69" fillId="0" borderId="0" applyAlignment="1" pivotButton="0" quotePrefix="0" xfId="283">
      <alignment vertical="center"/>
    </xf>
    <xf numFmtId="0" fontId="65" fillId="0" borderId="0" applyAlignment="1" pivotButton="0" quotePrefix="0" xfId="283">
      <alignment vertical="center"/>
    </xf>
    <xf numFmtId="166" fontId="65" fillId="0" borderId="0" applyAlignment="1" pivotButton="0" quotePrefix="0" xfId="283">
      <alignment vertical="center"/>
    </xf>
    <xf numFmtId="0" fontId="69" fillId="0" borderId="0" applyAlignment="1" pivotButton="0" quotePrefix="0" xfId="283">
      <alignment horizontal="center" vertical="center"/>
    </xf>
    <xf numFmtId="167" fontId="69" fillId="0" borderId="0" applyAlignment="1" pivotButton="0" quotePrefix="0" xfId="283">
      <alignment horizontal="center" vertical="center"/>
    </xf>
    <xf numFmtId="167" fontId="65" fillId="0" borderId="0" applyAlignment="1" pivotButton="0" quotePrefix="0" xfId="283">
      <alignment vertical="center"/>
    </xf>
    <xf numFmtId="0" fontId="70" fillId="56" borderId="32" applyAlignment="1" pivotButton="0" quotePrefix="0" xfId="283">
      <alignment horizontal="center" vertical="center"/>
    </xf>
    <xf numFmtId="0" fontId="70" fillId="57" borderId="35" applyAlignment="1" pivotButton="0" quotePrefix="0" xfId="283">
      <alignment horizontal="center" vertical="center"/>
    </xf>
    <xf numFmtId="0" fontId="73" fillId="57" borderId="0" applyAlignment="1" pivotButton="0" quotePrefix="0" xfId="283">
      <alignment horizontal="center" vertical="center"/>
    </xf>
    <xf numFmtId="0" fontId="74" fillId="0" borderId="0" applyAlignment="1" pivotButton="0" quotePrefix="0" xfId="283">
      <alignment horizontal="center" vertical="center"/>
    </xf>
    <xf numFmtId="11" fontId="74" fillId="0" borderId="0" applyAlignment="1" pivotButton="0" quotePrefix="0" xfId="283">
      <alignment horizontal="center" vertical="center"/>
    </xf>
    <xf numFmtId="166" fontId="73" fillId="58" borderId="0" applyAlignment="1" pivotButton="0" quotePrefix="0" xfId="283">
      <alignment horizontal="center" vertical="center"/>
    </xf>
    <xf numFmtId="0" fontId="70" fillId="59" borderId="0" applyAlignment="1" pivotButton="0" quotePrefix="0" xfId="283">
      <alignment horizontal="center" vertical="center"/>
    </xf>
    <xf numFmtId="167" fontId="70" fillId="59" borderId="0" applyAlignment="1" pivotButton="0" quotePrefix="0" xfId="283">
      <alignment horizontal="center" vertical="center"/>
    </xf>
    <xf numFmtId="167" fontId="74" fillId="59" borderId="0" applyAlignment="1" pivotButton="0" quotePrefix="0" xfId="283">
      <alignment horizontal="center" vertical="center"/>
    </xf>
    <xf numFmtId="0" fontId="72" fillId="59" borderId="0" applyAlignment="1" pivotButton="0" quotePrefix="0" xfId="283">
      <alignment horizontal="center"/>
    </xf>
    <xf numFmtId="167" fontId="72" fillId="59" borderId="0" applyAlignment="1" pivotButton="0" quotePrefix="0" xfId="283">
      <alignment horizontal="center"/>
    </xf>
    <xf numFmtId="0" fontId="65" fillId="0" borderId="0" applyAlignment="1" pivotButton="0" quotePrefix="0" xfId="283">
      <alignment horizontal="center" vertical="center"/>
    </xf>
    <xf numFmtId="0" fontId="65" fillId="0" borderId="4" applyAlignment="1" pivotButton="0" quotePrefix="0" xfId="283">
      <alignment vertical="center"/>
    </xf>
    <xf numFmtId="11" fontId="65" fillId="0" borderId="4" applyAlignment="1" pivotButton="0" quotePrefix="0" xfId="283">
      <alignment vertical="center"/>
    </xf>
    <xf numFmtId="0" fontId="70" fillId="60" borderId="0" applyAlignment="1" pivotButton="0" quotePrefix="0" xfId="0">
      <alignment horizontal="center" vertical="center"/>
    </xf>
    <xf numFmtId="0" fontId="73" fillId="60" borderId="0" applyAlignment="1" pivotButton="0" quotePrefix="0" xfId="0">
      <alignment horizontal="center" vertical="center"/>
    </xf>
    <xf numFmtId="167" fontId="73" fillId="60" borderId="0" applyAlignment="1" pivotButton="0" quotePrefix="0" xfId="0">
      <alignment vertical="center"/>
    </xf>
    <xf numFmtId="167" fontId="73" fillId="60" borderId="0" applyAlignment="1" pivotButton="0" quotePrefix="0" xfId="0">
      <alignment horizontal="center" vertical="center"/>
    </xf>
    <xf numFmtId="167" fontId="70" fillId="60" borderId="0" applyAlignment="1" pivotButton="0" quotePrefix="0" xfId="0">
      <alignment horizontal="center" vertical="center"/>
    </xf>
    <xf numFmtId="0" fontId="70" fillId="57" borderId="37" applyAlignment="1" pivotButton="0" quotePrefix="0" xfId="283">
      <alignment horizontal="center" vertical="center"/>
    </xf>
    <xf numFmtId="0" fontId="73" fillId="57" borderId="38" applyAlignment="1" pivotButton="0" quotePrefix="0" xfId="283">
      <alignment horizontal="center" vertical="center"/>
    </xf>
    <xf numFmtId="0" fontId="74" fillId="0" borderId="38" applyAlignment="1" pivotButton="0" quotePrefix="0" xfId="283">
      <alignment horizontal="center" vertical="center"/>
    </xf>
    <xf numFmtId="11" fontId="74" fillId="0" borderId="38" applyAlignment="1" pivotButton="0" quotePrefix="0" xfId="283">
      <alignment horizontal="center" vertical="center"/>
    </xf>
    <xf numFmtId="166" fontId="73" fillId="58" borderId="38" applyAlignment="1" pivotButton="0" quotePrefix="0" xfId="283">
      <alignment horizontal="center" vertical="center"/>
    </xf>
    <xf numFmtId="0" fontId="70" fillId="0" borderId="38" applyAlignment="1" pivotButton="0" quotePrefix="0" xfId="283">
      <alignment horizontal="center" vertical="center"/>
    </xf>
    <xf numFmtId="167" fontId="70" fillId="0" borderId="38" applyAlignment="1" pivotButton="0" quotePrefix="0" xfId="283">
      <alignment horizontal="center" vertical="center"/>
    </xf>
    <xf numFmtId="167" fontId="73" fillId="0" borderId="38" applyAlignment="1" pivotButton="0" quotePrefix="0" xfId="283">
      <alignment vertical="center"/>
    </xf>
    <xf numFmtId="11" fontId="69" fillId="0" borderId="0" applyAlignment="1" pivotButton="0" quotePrefix="0" xfId="283">
      <alignment horizontal="center" vertical="center"/>
    </xf>
    <xf numFmtId="166" fontId="4" fillId="0" borderId="0" applyAlignment="1" pivotButton="0" quotePrefix="0" xfId="0">
      <alignment vertical="center" wrapText="1"/>
    </xf>
    <xf numFmtId="167" fontId="72" fillId="57" borderId="34" applyAlignment="1" pivotButton="0" quotePrefix="0" xfId="283">
      <alignment horizontal="center" vertical="center" wrapText="1"/>
    </xf>
    <xf numFmtId="167" fontId="74" fillId="59" borderId="36" applyAlignment="1" pivotButton="0" quotePrefix="0" xfId="283">
      <alignment horizontal="center" vertical="center"/>
    </xf>
    <xf numFmtId="167" fontId="72" fillId="59" borderId="36" applyAlignment="1" pivotButton="0" quotePrefix="0" xfId="283">
      <alignment horizontal="center" vertical="center"/>
    </xf>
    <xf numFmtId="167" fontId="72" fillId="59" borderId="36" applyAlignment="1" pivotButton="0" quotePrefix="0" xfId="283">
      <alignment horizontal="center"/>
    </xf>
    <xf numFmtId="167" fontId="73" fillId="60" borderId="36" applyAlignment="1" pivotButton="0" quotePrefix="0" xfId="0">
      <alignment vertical="center"/>
    </xf>
    <xf numFmtId="167" fontId="70" fillId="60" borderId="36" applyAlignment="1" pivotButton="0" quotePrefix="0" xfId="0">
      <alignment horizontal="center" vertical="center"/>
    </xf>
    <xf numFmtId="167" fontId="73" fillId="0" borderId="39" applyAlignment="1" pivotButton="0" quotePrefix="0" xfId="283">
      <alignment vertical="center"/>
    </xf>
    <xf numFmtId="49" fontId="68" fillId="0" borderId="5" applyAlignment="1" pivotButton="0" quotePrefix="0" xfId="0">
      <alignment horizontal="center" vertical="center" wrapText="1"/>
    </xf>
    <xf numFmtId="49" fontId="12" fillId="0" borderId="0" applyAlignment="1" pivotButton="0" quotePrefix="0" xfId="0">
      <alignment horizontal="left" vertical="center" wrapText="1"/>
    </xf>
    <xf numFmtId="49" fontId="13" fillId="0" borderId="0" applyAlignment="1" pivotButton="0" quotePrefix="0" xfId="0">
      <alignment horizontal="left" vertical="center" wrapText="1"/>
    </xf>
    <xf numFmtId="49" fontId="65" fillId="0" borderId="0" applyAlignment="1" pivotButton="0" quotePrefix="0" xfId="0">
      <alignment horizontal="center" vertical="center" wrapText="1"/>
    </xf>
    <xf numFmtId="49" fontId="4" fillId="0" borderId="0" applyAlignment="1" pivotButton="0" quotePrefix="0" xfId="0">
      <alignment horizontal="left" vertical="center" wrapText="1"/>
    </xf>
    <xf numFmtId="49" fontId="5" fillId="0" borderId="0" applyAlignment="1" pivotButton="0" quotePrefix="0" xfId="0">
      <alignment horizontal="left" vertical="center" wrapText="1"/>
    </xf>
    <xf numFmtId="49" fontId="6" fillId="0" borderId="0" applyAlignment="1" pivotButton="0" quotePrefix="0" xfId="0">
      <alignment horizontal="center" vertical="center" wrapText="1"/>
    </xf>
    <xf numFmtId="49" fontId="4" fillId="0" borderId="31" applyAlignment="1" pivotButton="0" quotePrefix="0" xfId="0">
      <alignment horizontal="left" vertical="center" wrapText="1"/>
    </xf>
    <xf numFmtId="49" fontId="4" fillId="0" borderId="0" applyAlignment="1" pivotButton="0" quotePrefix="0" xfId="64">
      <alignment vertical="center" wrapText="1"/>
    </xf>
    <xf numFmtId="49" fontId="4" fillId="0" borderId="0" applyAlignment="1" pivotButton="0" quotePrefix="0" xfId="0">
      <alignment vertical="center" wrapText="1"/>
    </xf>
    <xf numFmtId="49" fontId="6" fillId="0" borderId="0" applyAlignment="1" pivotButton="0" quotePrefix="0" xfId="64">
      <alignment vertical="center"/>
    </xf>
    <xf numFmtId="49" fontId="4" fillId="0" borderId="0" applyAlignment="1" pivotButton="0" quotePrefix="0" xfId="226">
      <alignment vertical="center" wrapText="1"/>
    </xf>
    <xf numFmtId="49" fontId="5" fillId="0" borderId="0" applyAlignment="1" pivotButton="0" quotePrefix="0" xfId="226">
      <alignment vertical="center" wrapText="1"/>
    </xf>
    <xf numFmtId="49" fontId="6" fillId="0" borderId="0" applyAlignment="1" pivotButton="0" quotePrefix="0" xfId="226">
      <alignment vertical="center" wrapText="1"/>
    </xf>
    <xf numFmtId="49" fontId="6" fillId="0" borderId="0" applyAlignment="1" pivotButton="0" quotePrefix="0" xfId="0">
      <alignment horizontal="left" vertical="center" wrapText="1"/>
    </xf>
    <xf numFmtId="49" fontId="4" fillId="0" borderId="0" applyAlignment="1" pivotButton="0" quotePrefix="0" xfId="122">
      <alignment vertical="center" wrapText="1"/>
    </xf>
    <xf numFmtId="49" fontId="7" fillId="0" borderId="0" applyAlignment="1" pivotButton="0" quotePrefix="0" xfId="122">
      <alignment vertical="center" wrapText="1"/>
    </xf>
    <xf numFmtId="49" fontId="6" fillId="0" borderId="0" applyAlignment="1" pivotButton="0" quotePrefix="0" xfId="122">
      <alignment horizontal="left" vertical="center" wrapText="1"/>
    </xf>
    <xf numFmtId="49" fontId="6" fillId="0" borderId="28" applyAlignment="1" pivotButton="0" quotePrefix="0" xfId="122">
      <alignment horizontal="center" vertical="center" wrapText="1"/>
    </xf>
    <xf numFmtId="49" fontId="4" fillId="0" borderId="30" applyAlignment="1" pivotButton="0" quotePrefix="0" xfId="122">
      <alignment horizontal="center" vertical="center" wrapText="1"/>
    </xf>
    <xf numFmtId="49" fontId="4" fillId="0" borderId="29" applyAlignment="1" pivotButton="0" quotePrefix="0" xfId="0">
      <alignment horizontal="center" vertical="center" wrapText="1"/>
    </xf>
    <xf numFmtId="0" fontId="0" fillId="0" borderId="0" pivotButton="0" quotePrefix="0" xfId="0"/>
    <xf numFmtId="0" fontId="0" fillId="0" borderId="5" pivotButton="0" quotePrefix="0" xfId="0"/>
    <xf numFmtId="165" fontId="4" fillId="0" borderId="0" applyAlignment="1" pivotButton="0" quotePrefix="0" xfId="0">
      <alignment vertical="center" wrapText="1"/>
    </xf>
    <xf numFmtId="0" fontId="0" fillId="0" borderId="31" pivotButton="0" quotePrefix="0" xfId="0"/>
    <xf numFmtId="167" fontId="69" fillId="0" borderId="0" applyAlignment="1" pivotButton="0" quotePrefix="0" xfId="283">
      <alignment horizontal="center" vertical="center"/>
    </xf>
    <xf numFmtId="167" fontId="65" fillId="0" borderId="0" applyAlignment="1" pivotButton="0" quotePrefix="0" xfId="283">
      <alignment vertical="center"/>
    </xf>
    <xf numFmtId="167" fontId="70" fillId="57" borderId="33" applyAlignment="1" pivotButton="0" quotePrefix="0" xfId="283">
      <alignment horizontal="center" vertical="center" wrapText="1"/>
    </xf>
    <xf numFmtId="167" fontId="72" fillId="57" borderId="33" applyAlignment="1" pivotButton="0" quotePrefix="0" xfId="283">
      <alignment horizontal="center" vertical="center" wrapText="1"/>
    </xf>
    <xf numFmtId="167" fontId="72" fillId="57" borderId="34" applyAlignment="1" pivotButton="0" quotePrefix="0" xfId="283">
      <alignment horizontal="center" vertical="center" wrapText="1"/>
    </xf>
    <xf numFmtId="167" fontId="70" fillId="59" borderId="0" applyAlignment="1" pivotButton="0" quotePrefix="0" xfId="283">
      <alignment horizontal="center" vertical="center"/>
    </xf>
    <xf numFmtId="167" fontId="74" fillId="59" borderId="0" applyAlignment="1" pivotButton="0" quotePrefix="0" xfId="283">
      <alignment horizontal="center" vertical="center"/>
    </xf>
    <xf numFmtId="167" fontId="74" fillId="59" borderId="36" applyAlignment="1" pivotButton="0" quotePrefix="0" xfId="283">
      <alignment horizontal="center" vertical="center"/>
    </xf>
    <xf numFmtId="167" fontId="72" fillId="59" borderId="0" applyAlignment="1" pivotButton="0" quotePrefix="0" xfId="283">
      <alignment horizontal="center"/>
    </xf>
    <xf numFmtId="167" fontId="72" fillId="59" borderId="36" applyAlignment="1" pivotButton="0" quotePrefix="0" xfId="283">
      <alignment horizontal="center" vertical="center"/>
    </xf>
    <xf numFmtId="167" fontId="72" fillId="59" borderId="36" applyAlignment="1" pivotButton="0" quotePrefix="0" xfId="283">
      <alignment horizontal="center"/>
    </xf>
    <xf numFmtId="167" fontId="73" fillId="60" borderId="0" applyAlignment="1" pivotButton="0" quotePrefix="0" xfId="0">
      <alignment vertical="center"/>
    </xf>
    <xf numFmtId="167" fontId="73" fillId="60" borderId="36" applyAlignment="1" pivotButton="0" quotePrefix="0" xfId="0">
      <alignment vertical="center"/>
    </xf>
    <xf numFmtId="167" fontId="73" fillId="60" borderId="0" applyAlignment="1" pivotButton="0" quotePrefix="0" xfId="0">
      <alignment horizontal="center" vertical="center"/>
    </xf>
    <xf numFmtId="167" fontId="70" fillId="60" borderId="0" applyAlignment="1" pivotButton="0" quotePrefix="0" xfId="0">
      <alignment horizontal="center" vertical="center"/>
    </xf>
    <xf numFmtId="167" fontId="70" fillId="60" borderId="36" applyAlignment="1" pivotButton="0" quotePrefix="0" xfId="0">
      <alignment horizontal="center" vertical="center"/>
    </xf>
    <xf numFmtId="167" fontId="70" fillId="0" borderId="38" applyAlignment="1" pivotButton="0" quotePrefix="0" xfId="283">
      <alignment horizontal="center" vertical="center"/>
    </xf>
    <xf numFmtId="167" fontId="73" fillId="0" borderId="38" applyAlignment="1" pivotButton="0" quotePrefix="0" xfId="283">
      <alignment vertical="center"/>
    </xf>
    <xf numFmtId="167" fontId="73" fillId="0" borderId="39" applyAlignment="1" pivotButton="0" quotePrefix="0" xfId="283">
      <alignment vertical="center"/>
    </xf>
  </cellXfs>
  <cellStyles count="285">
    <cellStyle name="Normal" xfId="0" builtinId="0"/>
    <cellStyle name="输出 3" xfId="1"/>
    <cellStyle name="20% - Accent4" xfId="2"/>
    <cellStyle name="计算 2" xfId="3"/>
    <cellStyle name="Input 2" xfId="4"/>
    <cellStyle name="常规 7 3" xfId="5"/>
    <cellStyle name="常规 6" xfId="6"/>
    <cellStyle name="60% - 强调文字颜色 2 3" xfId="7"/>
    <cellStyle name="百分比 4" xfId="8"/>
    <cellStyle name="Accent6 2" xfId="9"/>
    <cellStyle name="Input" xfId="10"/>
    <cellStyle name="20% - 强调文字颜色 5 3" xfId="11"/>
    <cellStyle name="20% - Accent5 2" xfId="12"/>
    <cellStyle name="计算 3 2" xfId="13"/>
    <cellStyle name="40% - 强调文字颜色 4 2" xfId="14"/>
    <cellStyle name="20% - 强调文字颜色 2 3" xfId="15"/>
    <cellStyle name="20% - Accent2 2" xfId="16"/>
    <cellStyle name="Heading 3" xfId="17"/>
    <cellStyle name="20% - 强调文字颜色 3 3" xfId="18"/>
    <cellStyle name="20% - Accent3 2" xfId="19"/>
    <cellStyle name="20% - 强调文字颜色 1 4" xfId="20"/>
    <cellStyle name="20% - Accent1 3" xfId="21"/>
    <cellStyle name="链接单元格 3" xfId="22"/>
    <cellStyle name="20% - Accent2" xfId="23"/>
    <cellStyle name="输出 2" xfId="24"/>
    <cellStyle name="链接单元格 4" xfId="25"/>
    <cellStyle name="20% - Accent3" xfId="26"/>
    <cellStyle name="20% - 强调文字颜色 1 3" xfId="27"/>
    <cellStyle name="20% - Accent1 2" xfId="28"/>
    <cellStyle name="输出 4" xfId="29"/>
    <cellStyle name="20% - Accent5" xfId="30"/>
    <cellStyle name="计算 3" xfId="31"/>
    <cellStyle name="计算 4" xfId="32"/>
    <cellStyle name="适中 2" xfId="33"/>
    <cellStyle name="Heading 3 2" xfId="34"/>
    <cellStyle name="20% - Accent1" xfId="35"/>
    <cellStyle name="20% - 强调文字颜色 2 4" xfId="36"/>
    <cellStyle name="20% - Accent2 3" xfId="37"/>
    <cellStyle name="Heading 4" xfId="38"/>
    <cellStyle name="60% - 强调文字颜色 1 2" xfId="39"/>
    <cellStyle name="20% - 强调文字颜色 3 4" xfId="40"/>
    <cellStyle name="20% - Accent3 3" xfId="41"/>
    <cellStyle name="常规 4" xfId="42"/>
    <cellStyle name="20% - 强调文字颜色 4 3" xfId="43"/>
    <cellStyle name="20% - Accent4 2" xfId="44"/>
    <cellStyle name="常规 5" xfId="45"/>
    <cellStyle name="60% - 强调文字颜色 2 2" xfId="46"/>
    <cellStyle name="20% - 强调文字颜色 4 4" xfId="47"/>
    <cellStyle name="20% - Accent4 3" xfId="48"/>
    <cellStyle name="60% - 强调文字颜色 3 2" xfId="49"/>
    <cellStyle name="20% - 强调文字颜色 5 4" xfId="50"/>
    <cellStyle name="20% - Accent5 3" xfId="51"/>
    <cellStyle name="20% - Accent6" xfId="52"/>
    <cellStyle name="20% - 强调文字颜色 6 3" xfId="53"/>
    <cellStyle name="20% - Accent6 2" xfId="54"/>
    <cellStyle name="Neutral" xfId="55"/>
    <cellStyle name="60% - 强调文字颜色 4 2" xfId="56"/>
    <cellStyle name="20% - 强调文字颜色 6 4" xfId="57"/>
    <cellStyle name="20% - Accent6 3" xfId="58"/>
    <cellStyle name="20% - 强调文字颜色 1 2" xfId="59"/>
    <cellStyle name="20% - 强调文字颜色 2 2" xfId="60"/>
    <cellStyle name="输出 3 2" xfId="61"/>
    <cellStyle name="Heading 2" xfId="62"/>
    <cellStyle name="20% - 强调文字颜色 3 2" xfId="63"/>
    <cellStyle name="常规 3" xfId="64"/>
    <cellStyle name="20% - 强调文字颜色 4 2" xfId="65"/>
    <cellStyle name="20% - 强调文字颜色 5 2" xfId="66"/>
    <cellStyle name="20% - 强调文字颜色 6 2" xfId="67"/>
    <cellStyle name="40% - Accent1" xfId="68"/>
    <cellStyle name="40% - Accent1 2" xfId="69"/>
    <cellStyle name="40% - Accent1 3" xfId="70"/>
    <cellStyle name="40% - Accent2" xfId="71"/>
    <cellStyle name="40% - Accent2 2" xfId="72"/>
    <cellStyle name="40% - Accent2 3" xfId="73"/>
    <cellStyle name="40% - Accent3" xfId="74"/>
    <cellStyle name="好 4" xfId="75"/>
    <cellStyle name="40% - Accent3 2" xfId="76"/>
    <cellStyle name="40% - Accent3 3" xfId="77"/>
    <cellStyle name="40% - Accent4" xfId="78"/>
    <cellStyle name="40% - Accent4 2" xfId="79"/>
    <cellStyle name="40% - Accent4 3" xfId="80"/>
    <cellStyle name="警告文本 2" xfId="81"/>
    <cellStyle name="40% - Accent5" xfId="82"/>
    <cellStyle name="40% - Accent5 2" xfId="83"/>
    <cellStyle name="40% - Accent5 3" xfId="84"/>
    <cellStyle name="警告文本 3" xfId="85"/>
    <cellStyle name="40% - Accent6" xfId="86"/>
    <cellStyle name="常规 8" xfId="87"/>
    <cellStyle name="40% - Accent6 2" xfId="88"/>
    <cellStyle name="常规 9" xfId="89"/>
    <cellStyle name="40% - Accent6 3" xfId="90"/>
    <cellStyle name="40% - 强调文字颜色 1 2" xfId="91"/>
    <cellStyle name="Accent1" xfId="92"/>
    <cellStyle name="40% - 强调文字颜色 1 3" xfId="93"/>
    <cellStyle name="Accent2" xfId="94"/>
    <cellStyle name="40% - 强调文字颜色 1 4" xfId="95"/>
    <cellStyle name="40% - 强调文字颜色 2 2" xfId="96"/>
    <cellStyle name="40% - 强调文字颜色 2 3" xfId="97"/>
    <cellStyle name="40% - 强调文字颜色 2 4" xfId="98"/>
    <cellStyle name="40% - 强调文字颜色 3 2" xfId="99"/>
    <cellStyle name="40% - 强调文字颜色 3 3" xfId="100"/>
    <cellStyle name="40% - 强调文字颜色 3 4" xfId="101"/>
    <cellStyle name="40% - 强调文字颜色 4 3" xfId="102"/>
    <cellStyle name="40% - 强调文字颜色 4 4" xfId="103"/>
    <cellStyle name="40% - 强调文字颜色 5 2" xfId="104"/>
    <cellStyle name="40% - 强调文字颜色 5 3" xfId="105"/>
    <cellStyle name="40% - 强调文字颜色 5 4" xfId="106"/>
    <cellStyle name="40% - 强调文字颜色 6 2" xfId="107"/>
    <cellStyle name="40% - 强调文字颜色 6 3" xfId="108"/>
    <cellStyle name="Neutral 2" xfId="109"/>
    <cellStyle name="40% - 强调文字颜色 6 4" xfId="110"/>
    <cellStyle name="60% - Accent1" xfId="111"/>
    <cellStyle name="60% - Accent1 2" xfId="112"/>
    <cellStyle name="常规 2 2" xfId="113"/>
    <cellStyle name="Title 2" xfId="114"/>
    <cellStyle name="60% - Accent2" xfId="115"/>
    <cellStyle name="常规 2 2 2" xfId="116"/>
    <cellStyle name="60% - Accent2 2" xfId="117"/>
    <cellStyle name="输入 3 2" xfId="118"/>
    <cellStyle name="常规 2 3" xfId="119"/>
    <cellStyle name="Title 3" xfId="120"/>
    <cellStyle name="60% - Accent3" xfId="121"/>
    <cellStyle name="常规 2 3 2" xfId="122"/>
    <cellStyle name="Bad" xfId="123"/>
    <cellStyle name="60% - Accent3 2" xfId="124"/>
    <cellStyle name="60% - Accent4" xfId="125"/>
    <cellStyle name="60% - Accent4 2" xfId="126"/>
    <cellStyle name="强调文字颜色 4 2" xfId="127"/>
    <cellStyle name="60% - Accent5" xfId="128"/>
    <cellStyle name="60% - Accent5 2" xfId="129"/>
    <cellStyle name="强调文字颜色 4 3" xfId="130"/>
    <cellStyle name="60% - Accent6" xfId="131"/>
    <cellStyle name="60% - Accent6 2" xfId="132"/>
    <cellStyle name="60% - 强调文字颜色 1 3" xfId="133"/>
    <cellStyle name="60% - 强调文字颜色 1 4" xfId="134"/>
    <cellStyle name="常规 7" xfId="135"/>
    <cellStyle name="60% - 强调文字颜色 2 4" xfId="136"/>
    <cellStyle name="60% - 强调文字颜色 3 3" xfId="137"/>
    <cellStyle name="60% - 强调文字颜色 3 4" xfId="138"/>
    <cellStyle name="60% - 强调文字颜色 4 3" xfId="139"/>
    <cellStyle name="60% - 强调文字颜色 4 4" xfId="140"/>
    <cellStyle name="60% - 强调文字颜色 5 2" xfId="141"/>
    <cellStyle name="60% - 强调文字颜色 5 3" xfId="142"/>
    <cellStyle name="60% - 强调文字颜色 5 4" xfId="143"/>
    <cellStyle name="60% - 强调文字颜色 6 2" xfId="144"/>
    <cellStyle name="60% - 强调文字颜色 6 3" xfId="145"/>
    <cellStyle name="60% - 强调文字颜色 6 4" xfId="146"/>
    <cellStyle name="Accent1 2" xfId="147"/>
    <cellStyle name="Accent2 2" xfId="148"/>
    <cellStyle name="Accent3" xfId="149"/>
    <cellStyle name="Accent3 2" xfId="150"/>
    <cellStyle name="Accent4" xfId="151"/>
    <cellStyle name="Accent6" xfId="152"/>
    <cellStyle name="Accent4 2" xfId="153"/>
    <cellStyle name="Accent5" xfId="154"/>
    <cellStyle name="Accent5 2" xfId="155"/>
    <cellStyle name="Bad 2" xfId="156"/>
    <cellStyle name="Calculation" xfId="157"/>
    <cellStyle name="Calculation 2" xfId="158"/>
    <cellStyle name="Check Cell" xfId="159"/>
    <cellStyle name="Check Cell 2" xfId="160"/>
    <cellStyle name="强调文字颜色 1 2" xfId="161"/>
    <cellStyle name="Explanatory Text" xfId="162"/>
    <cellStyle name="Explanatory Text 2" xfId="163"/>
    <cellStyle name="常规 10" xfId="164"/>
    <cellStyle name="Good" xfId="165"/>
    <cellStyle name="Good 2" xfId="166"/>
    <cellStyle name="常规 3 2 4" xfId="167"/>
    <cellStyle name="Heading 1" xfId="168"/>
    <cellStyle name="Heading 1 2" xfId="169"/>
    <cellStyle name="Heading 2 2" xfId="170"/>
    <cellStyle name="Heading 4 2" xfId="171"/>
    <cellStyle name="检查单元格 2" xfId="172"/>
    <cellStyle name="标题 4 4" xfId="173"/>
    <cellStyle name="Linked Cell" xfId="174"/>
    <cellStyle name="Linked Cell 2" xfId="175"/>
    <cellStyle name="Normal 2" xfId="176"/>
    <cellStyle name="Normal 2 10" xfId="177"/>
    <cellStyle name="Normal 2 2" xfId="178"/>
    <cellStyle name="Normal 2 2 2" xfId="179"/>
    <cellStyle name="Normal 2 3" xfId="180"/>
    <cellStyle name="Normal 2 4" xfId="181"/>
    <cellStyle name="Normal 3" xfId="182"/>
    <cellStyle name="Normal 3 2" xfId="183"/>
    <cellStyle name="Normal 4" xfId="184"/>
    <cellStyle name="Normal_Sheet1_5" xfId="185"/>
    <cellStyle name="常规 2 3 2 3" xfId="186"/>
    <cellStyle name="Note" xfId="187"/>
    <cellStyle name="标题 5" xfId="188"/>
    <cellStyle name="Note 2" xfId="189"/>
    <cellStyle name="标题 6" xfId="190"/>
    <cellStyle name="Note 3" xfId="191"/>
    <cellStyle name="Output" xfId="192"/>
    <cellStyle name="强调文字颜色 3 3" xfId="193"/>
    <cellStyle name="常规 2 10" xfId="194"/>
    <cellStyle name="Output 2" xfId="195"/>
    <cellStyle name="常规 2" xfId="196"/>
    <cellStyle name="Title" xfId="197"/>
    <cellStyle name="Total" xfId="198"/>
    <cellStyle name="Total 2" xfId="199"/>
    <cellStyle name="Warning Text" xfId="200"/>
    <cellStyle name="Warning Text 2" xfId="201"/>
    <cellStyle name="差 4" xfId="202"/>
    <cellStyle name="百分比 2" xfId="203"/>
    <cellStyle name="标题 1 2" xfId="204"/>
    <cellStyle name="标题 1 3" xfId="205"/>
    <cellStyle name="标题 1 4" xfId="206"/>
    <cellStyle name="标题 2 2" xfId="207"/>
    <cellStyle name="标题 2 3" xfId="208"/>
    <cellStyle name="标题 2 4" xfId="209"/>
    <cellStyle name="标题 3 2" xfId="210"/>
    <cellStyle name="标题 3 3" xfId="211"/>
    <cellStyle name="标题 3 4" xfId="212"/>
    <cellStyle name="标题 4 2" xfId="213"/>
    <cellStyle name="标题 4 3" xfId="214"/>
    <cellStyle name="标题 7" xfId="215"/>
    <cellStyle name="差 2" xfId="216"/>
    <cellStyle name="差 3" xfId="217"/>
    <cellStyle name="常规 11" xfId="218"/>
    <cellStyle name="常规 11 2" xfId="219"/>
    <cellStyle name="常规 12" xfId="220"/>
    <cellStyle name="常规 13" xfId="221"/>
    <cellStyle name="常规 21" xfId="222"/>
    <cellStyle name="常规 2 10 4" xfId="223"/>
    <cellStyle name="常规 2 2 3" xfId="224"/>
    <cellStyle name="常规 2 2 5" xfId="225"/>
    <cellStyle name="常规 3 2" xfId="226"/>
    <cellStyle name="适中 4" xfId="227"/>
    <cellStyle name="常规 3 2 2" xfId="228"/>
    <cellStyle name="常规 3 2 3" xfId="229"/>
    <cellStyle name="常规 3 3" xfId="230"/>
    <cellStyle name="常规 3 4" xfId="231"/>
    <cellStyle name="常规 3 4 2" xfId="232"/>
    <cellStyle name="常规 4 2" xfId="233"/>
    <cellStyle name="常规 4 4" xfId="234"/>
    <cellStyle name="常规 4 2 2" xfId="235"/>
    <cellStyle name="注释 4" xfId="236"/>
    <cellStyle name="常规 4 4 2" xfId="237"/>
    <cellStyle name="常规 4 2 2 2" xfId="238"/>
    <cellStyle name="常规 4 3" xfId="239"/>
    <cellStyle name="常规 4 3 2" xfId="240"/>
    <cellStyle name="强调文字颜色 6 2" xfId="241"/>
    <cellStyle name="常规 4 5" xfId="242"/>
    <cellStyle name="注释 2" xfId="243"/>
    <cellStyle name="常规 6 2" xfId="244"/>
    <cellStyle name="注释 3" xfId="245"/>
    <cellStyle name="常规 6 3" xfId="246"/>
    <cellStyle name="常规 7 2" xfId="247"/>
    <cellStyle name="常规 7 2 2" xfId="248"/>
    <cellStyle name="好 2" xfId="249"/>
    <cellStyle name="好 3" xfId="250"/>
    <cellStyle name="汇总 2" xfId="251"/>
    <cellStyle name="汇总 3" xfId="252"/>
    <cellStyle name="汇总 3 2" xfId="253"/>
    <cellStyle name="汇总 4" xfId="254"/>
    <cellStyle name="检查单元格 3" xfId="255"/>
    <cellStyle name="检查单元格 4" xfId="256"/>
    <cellStyle name="解释性文本 2" xfId="257"/>
    <cellStyle name="解释性文本 3" xfId="258"/>
    <cellStyle name="解释性文本 4" xfId="259"/>
    <cellStyle name="警告文本 4" xfId="260"/>
    <cellStyle name="链接单元格 2" xfId="261"/>
    <cellStyle name="强调文字颜色 1 3" xfId="262"/>
    <cellStyle name="强调文字颜色 1 4" xfId="263"/>
    <cellStyle name="强调文字颜色 2 2" xfId="264"/>
    <cellStyle name="强调文字颜色 2 3" xfId="265"/>
    <cellStyle name="强调文字颜色 2 4" xfId="266"/>
    <cellStyle name="强调文字颜色 3 2" xfId="267"/>
    <cellStyle name="强调文字颜色 3 4" xfId="268"/>
    <cellStyle name="强调文字颜色 4 4" xfId="269"/>
    <cellStyle name="强调文字颜色 5 2" xfId="270"/>
    <cellStyle name="强调文字颜色 5 3" xfId="271"/>
    <cellStyle name="强调文字颜色 5 4" xfId="272"/>
    <cellStyle name="强调文字颜色 6 3" xfId="273"/>
    <cellStyle name="强调文字颜色 6 4" xfId="274"/>
    <cellStyle name="适中 3" xfId="275"/>
    <cellStyle name="输入 2" xfId="276"/>
    <cellStyle name="输入 3" xfId="277"/>
    <cellStyle name="输入 4" xfId="278"/>
    <cellStyle name="注释 2 2" xfId="279"/>
    <cellStyle name="注释 3 2" xfId="280"/>
    <cellStyle name="Per cent" xfId="281" builtinId="5"/>
    <cellStyle name="百分比 15" xfId="282"/>
    <cellStyle name="常规 10 2" xfId="283"/>
    <cellStyle name="常规 14" xfId="284"/>
  </cellStyles>
  <dxfs count="54">
    <dxf>
      <fill>
        <patternFill>
          <bgColor rgb="FFFF0000"/>
        </patternFill>
      </fill>
    </dxf>
    <dxf>
      <fill>
        <patternFill>
          <bgColor rgb="FFFF0000"/>
        </patternFill>
      </fill>
    </dxf>
    <dxf>
      <font>
        <condense val="0"/>
        <color rgb="FF9C0006"/>
        <extend val="0"/>
      </font>
      <fill>
        <patternFill>
          <bgColor rgb="FFFFC7CE"/>
        </patternFill>
      </fill>
    </dxf>
    <dxf>
      <fill>
        <patternFill patternType="solid">
          <fgColor rgb="FF000000"/>
          <bgColor theme="5" tint="0.7999816888943144"/>
        </patternFill>
      </fill>
    </dxf>
    <dxf>
      <font>
        <condense val="0"/>
        <color rgb="FF9C0006"/>
        <extend val="0"/>
      </font>
      <fill>
        <patternFill>
          <bgColor rgb="FFFFC7CE"/>
        </patternFill>
      </fill>
    </dxf>
    <dxf>
      <font>
        <condense val="0"/>
        <color rgb="FF9C0006"/>
        <extend val="0"/>
      </font>
      <fill>
        <patternFill>
          <bgColor rgb="FFFFC7CE"/>
        </patternFill>
      </fill>
    </dxf>
    <dxf>
      <fill>
        <patternFill>
          <bgColor theme="5" tint="0.7999816888943144"/>
        </patternFill>
      </fill>
    </dxf>
    <dxf>
      <fill>
        <patternFill>
          <bgColor rgb="FFFF0000"/>
        </patternFill>
      </fill>
    </dxf>
    <dxf>
      <fill>
        <patternFill>
          <bgColor rgb="FFFF0000"/>
        </patternFill>
      </fill>
    </dxf>
    <dxf>
      <font>
        <condense val="0"/>
        <color rgb="FF9C0006"/>
        <extend val="0"/>
      </font>
      <fill>
        <patternFill>
          <bgColor rgb="FFFFC7CE"/>
        </patternFill>
      </fill>
    </dxf>
    <dxf>
      <fill>
        <patternFill patternType="solid">
          <fgColor rgb="FF000000"/>
          <bgColor theme="5" tint="0.7999816888943144"/>
        </patternFill>
      </fill>
    </dxf>
    <dxf>
      <font>
        <condense val="0"/>
        <color rgb="FF9C0006"/>
        <extend val="0"/>
      </font>
      <fill>
        <patternFill>
          <bgColor rgb="FFFFC7CE"/>
        </patternFill>
      </fill>
    </dxf>
    <dxf>
      <font>
        <condense val="0"/>
        <color rgb="FF9C0006"/>
        <extend val="0"/>
      </font>
      <fill>
        <patternFill>
          <bgColor rgb="FFFFC7CE"/>
        </patternFill>
      </fill>
    </dxf>
    <dxf>
      <fill>
        <patternFill>
          <bgColor theme="5" tint="0.7999816888943144"/>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0000"/>
        </patternFill>
      </fill>
    </dxf>
    <dxf>
      <font>
        <condense val="0"/>
        <color rgb="FF9C0006"/>
        <extend val="0"/>
      </font>
      <fill>
        <patternFill>
          <bgColor rgb="FFFFC7CE"/>
        </patternFill>
      </fill>
    </dxf>
    <dxf>
      <fill>
        <patternFill patternType="solid">
          <fgColor rgb="FF000000"/>
          <bgColor theme="5" tint="0.7999816888943144"/>
        </patternFill>
      </fill>
    </dxf>
    <dxf>
      <font>
        <condense val="0"/>
        <color rgb="FF9C0006"/>
        <extend val="0"/>
      </font>
      <fill>
        <patternFill>
          <bgColor rgb="FFFFC7CE"/>
        </patternFill>
      </fill>
    </dxf>
    <dxf>
      <font>
        <condense val="0"/>
        <color rgb="FF9C0006"/>
        <extend val="0"/>
      </font>
      <fill>
        <patternFill>
          <bgColor rgb="FFFFC7CE"/>
        </patternFill>
      </fill>
    </dxf>
    <dxf>
      <fill>
        <patternFill>
          <bgColor theme="5" tint="0.7999816888943144"/>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tabSelected="1" workbookViewId="0">
      <selection activeCell="A1" sqref="A1:B1"/>
    </sheetView>
  </sheetViews>
  <sheetFormatPr baseColWidth="8" defaultColWidth="9.875" defaultRowHeight="36" customHeight="1"/>
  <cols>
    <col width="36.625" customWidth="1" style="1" min="1" max="1"/>
    <col width="50.625" customWidth="1" style="1" min="2" max="2"/>
    <col width="9.875" customWidth="1" style="1" min="3" max="16384"/>
  </cols>
  <sheetData>
    <row r="1" ht="36" customHeight="1" s="124">
      <c r="A1" s="103" t="inlineStr">
        <is>
          <t>Study Report</t>
        </is>
      </c>
      <c r="B1" s="125" t="n"/>
    </row>
    <row r="2" ht="36" customHeight="1" s="124">
      <c r="A2" s="2" t="inlineStr">
        <is>
          <t>Report Name</t>
        </is>
      </c>
      <c r="B2" s="3" t="inlineStr">
        <is>
          <t>Bidirectional Permeability of PH-NTU-00-00-000-1 in Caco-2 Cell Line</t>
        </is>
      </c>
    </row>
    <row r="3" ht="36" customHeight="1" s="124">
      <c r="A3" s="2" t="inlineStr">
        <is>
          <t>Pharmaron Study Number</t>
        </is>
      </c>
      <c r="B3" s="4" t="inlineStr">
        <is>
          <t>ADME-NCU-231214</t>
        </is>
      </c>
    </row>
    <row r="4" ht="36" customHeight="1" s="124">
      <c r="A4" s="2" t="inlineStr">
        <is>
          <t>Pharmaron Report Number</t>
        </is>
      </c>
      <c r="B4" s="4" t="inlineStr">
        <is>
          <t>ADME-NCU-Caco-2 Permeability-20231219</t>
        </is>
      </c>
    </row>
    <row r="5" ht="36" customHeight="1" s="124">
      <c r="A5" s="2" t="inlineStr">
        <is>
          <t>Submitted to</t>
        </is>
      </c>
      <c r="B5" s="5" t="inlineStr">
        <is>
          <t>Newcastle University</t>
        </is>
      </c>
    </row>
    <row r="6" ht="36" customHeight="1" s="124">
      <c r="A6" s="2" t="inlineStr">
        <is>
          <t>Submitted by</t>
        </is>
      </c>
      <c r="B6" s="5" t="inlineStr">
        <is>
          <t>in vitro ADME laboratory, Pharmaron</t>
        </is>
      </c>
    </row>
    <row r="7" ht="36" customHeight="1" s="124">
      <c r="A7" s="2" t="inlineStr">
        <is>
          <t>Study Start Date</t>
        </is>
      </c>
      <c r="B7" s="6" t="inlineStr">
        <is>
          <t>12/15/2023</t>
        </is>
      </c>
    </row>
    <row r="8" ht="36" customHeight="1" s="124">
      <c r="A8" s="2" t="inlineStr">
        <is>
          <t>Report Submission Date</t>
        </is>
      </c>
      <c r="B8" s="6" t="inlineStr">
        <is>
          <t>12/19/2023</t>
        </is>
      </c>
    </row>
    <row r="9" ht="36" customHeight="1" s="124">
      <c r="A9" s="2" t="inlineStr">
        <is>
          <t>Study Director</t>
        </is>
      </c>
      <c r="B9" s="48" t="inlineStr">
        <is>
          <t>Han Yue</t>
        </is>
      </c>
    </row>
    <row r="10" ht="36" customHeight="1" s="124">
      <c r="A10" s="2" t="inlineStr">
        <is>
          <t>Assay Scientist</t>
        </is>
      </c>
      <c r="B10" s="48" t="inlineStr">
        <is>
          <t>Xiuli Liu</t>
        </is>
      </c>
    </row>
    <row r="11" ht="36" customHeight="1" s="124">
      <c r="A11" s="8" t="inlineStr">
        <is>
          <t>QC for The Key Steps of The Experiment</t>
        </is>
      </c>
      <c r="B11" s="48" t="inlineStr">
        <is>
          <t>Yanshu Yuan</t>
        </is>
      </c>
    </row>
    <row r="12" ht="36" customHeight="1" s="124">
      <c r="A12" s="2" t="inlineStr">
        <is>
          <t>QC for Raw Data and Data Analysis</t>
        </is>
      </c>
      <c r="B12" s="48" t="inlineStr">
        <is>
          <t>Yanshu Yuan</t>
        </is>
      </c>
    </row>
    <row r="13" ht="36" customHeight="1" s="124">
      <c r="A13" s="2" t="inlineStr">
        <is>
          <t>QC for Report</t>
        </is>
      </c>
      <c r="B13" s="48" t="inlineStr">
        <is>
          <t>Dan Jiang</t>
        </is>
      </c>
    </row>
    <row r="14" ht="36" customHeight="1" s="124">
      <c r="A14" s="2" t="inlineStr">
        <is>
          <t>Report Approval</t>
        </is>
      </c>
      <c r="B14" s="7" t="inlineStr">
        <is>
          <t>Qing Wang</t>
        </is>
      </c>
    </row>
  </sheetData>
  <mergeCells count="1">
    <mergeCell ref="A1:B1"/>
  </mergeCells>
  <conditionalFormatting sqref="C2:C3">
    <cfRule type="duplicateValues" priority="1" dxfId="33"/>
  </conditionalFormatting>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F15"/>
  <sheetViews>
    <sheetView zoomScaleNormal="100" workbookViewId="0">
      <selection activeCell="A1" sqref="A1:F1"/>
    </sheetView>
  </sheetViews>
  <sheetFormatPr baseColWidth="8" defaultColWidth="9" defaultRowHeight="15.75"/>
  <cols>
    <col width="20.625" customWidth="1" style="31" min="1" max="1"/>
    <col width="20.625" customWidth="1" style="30" min="2" max="6"/>
    <col width="9" customWidth="1" style="31" min="7" max="16384"/>
  </cols>
  <sheetData>
    <row r="1" ht="19.5" customHeight="1" s="124">
      <c r="A1" s="104" t="inlineStr">
        <is>
          <t>Data Summary</t>
        </is>
      </c>
    </row>
    <row r="2" customFormat="1" s="32" thickBot="1">
      <c r="A2" s="105" t="inlineStr">
        <is>
          <t>Table 1. Permeability results of test compound and control compounds in Caco-2 cell line</t>
        </is>
      </c>
    </row>
    <row r="3" ht="18.75" customFormat="1" customHeight="1" s="32">
      <c r="A3" s="9" t="inlineStr">
        <is>
          <t>Compound ID</t>
        </is>
      </c>
      <c r="B3" s="23" t="inlineStr">
        <is>
          <t>Papp (A-B)  (10-6, cm/s)</t>
        </is>
      </c>
      <c r="C3" s="23" t="inlineStr">
        <is>
          <t>Papp (B-A) (10-6, cm/s)</t>
        </is>
      </c>
      <c r="D3" s="23" t="inlineStr">
        <is>
          <t>Efflux Ratio</t>
        </is>
      </c>
      <c r="E3" s="23" t="inlineStr">
        <is>
          <t>Recovery (%)AP-BL</t>
        </is>
      </c>
      <c r="F3" s="24" t="inlineStr">
        <is>
          <t>Recovery (%)BL-AP</t>
        </is>
      </c>
    </row>
    <row r="4" ht="15" customFormat="1" customHeight="1" s="32">
      <c r="A4" s="10" t="inlineStr">
        <is>
          <t>Metoprolol</t>
        </is>
      </c>
      <c r="B4" s="49" t="n">
        <v>24.33718856529432</v>
      </c>
      <c r="C4" s="49" t="n">
        <v>23.31382853078272</v>
      </c>
      <c r="D4" s="49" t="n">
        <v>0.9579394680774219</v>
      </c>
      <c r="E4" s="49" t="n">
        <v>112.7256435064019</v>
      </c>
      <c r="F4" s="50" t="n">
        <v>100.4368547231679</v>
      </c>
    </row>
    <row r="5" ht="15" customFormat="1" customHeight="1" s="32">
      <c r="A5" s="10" t="inlineStr">
        <is>
          <t>Digoxin</t>
        </is>
      </c>
      <c r="B5" s="51" t="n">
        <v>0.3832126794400162</v>
      </c>
      <c r="C5" s="49" t="n">
        <v>14.34447442911494</v>
      </c>
      <c r="D5" s="49" t="n">
        <v>37.38118983372529</v>
      </c>
      <c r="E5" s="49" t="n">
        <v>91.15346955521684</v>
      </c>
      <c r="F5" s="50" t="n">
        <v>97.72313988359409</v>
      </c>
    </row>
    <row r="6" customFormat="1" s="32" thickBot="1">
      <c r="A6" s="11" t="inlineStr">
        <is>
          <t>PH-NTU-00-00-000-1</t>
        </is>
      </c>
      <c r="B6" s="52" t="n">
        <v>0.5614507209326316</v>
      </c>
      <c r="C6" s="52" t="n">
        <v>4.355940268647299</v>
      </c>
      <c r="D6" s="52" t="n">
        <v>7.789878811910301</v>
      </c>
      <c r="E6" s="52" t="n">
        <v>36.81001321668883</v>
      </c>
      <c r="F6" s="53" t="n">
        <v>82.01258592796849</v>
      </c>
    </row>
    <row r="7" ht="15" customFormat="1" customHeight="1" s="34">
      <c r="A7" s="106" t="n"/>
    </row>
    <row r="8" customFormat="1" s="34" thickBot="1">
      <c r="A8" s="105" t="inlineStr">
        <is>
          <t>Table 2. The assessment of Caco-2 cell monolayer integrity</t>
        </is>
      </c>
      <c r="F8" s="35" t="n"/>
    </row>
    <row r="9" ht="17.25" customFormat="1" customHeight="1" s="32">
      <c r="A9" s="9" t="inlineStr">
        <is>
          <t>Compound ID</t>
        </is>
      </c>
      <c r="B9" s="23" t="inlineStr">
        <is>
          <t>TEER A-B (Ω × cm2)</t>
        </is>
      </c>
      <c r="C9" s="23" t="inlineStr">
        <is>
          <t>TEER B-A (Ω × cm2)</t>
        </is>
      </c>
      <c r="D9" s="28" t="inlineStr">
        <is>
          <t>LY Leakage A-B (%)</t>
        </is>
      </c>
      <c r="E9" s="29" t="inlineStr">
        <is>
          <t>LY Leakage B-A (%)</t>
        </is>
      </c>
      <c r="F9" s="33" t="n"/>
    </row>
    <row r="10" ht="15" customFormat="1" customHeight="1" s="32">
      <c r="A10" s="10" t="inlineStr">
        <is>
          <t>Metoprolol</t>
        </is>
      </c>
      <c r="B10" s="25" t="n">
        <v>755.4689999999999</v>
      </c>
      <c r="C10" s="25" t="n">
        <v>791.8625</v>
      </c>
      <c r="D10" s="25" t="n">
        <v>0.1740946511571292</v>
      </c>
      <c r="E10" s="26" t="n">
        <v>0.227925089536631</v>
      </c>
      <c r="F10" s="33" t="n"/>
    </row>
    <row r="11" ht="15" customFormat="1" customHeight="1" s="32">
      <c r="A11" s="10" t="inlineStr">
        <is>
          <t>Digoxin</t>
        </is>
      </c>
      <c r="B11" s="25" t="n">
        <v>750.4639999999999</v>
      </c>
      <c r="C11" s="25" t="n">
        <v>756.47</v>
      </c>
      <c r="D11" s="25" t="n">
        <v>0.150781635901182</v>
      </c>
      <c r="E11" s="26" t="n">
        <v>0.1615675489859058</v>
      </c>
      <c r="F11" s="33" t="n"/>
    </row>
    <row r="12" customFormat="1" s="32" thickBot="1">
      <c r="A12" s="11" t="inlineStr">
        <is>
          <t>PH-NTU-00-00-000-1</t>
        </is>
      </c>
      <c r="B12" s="40" t="n">
        <v>701.0574999999999</v>
      </c>
      <c r="C12" s="40" t="n">
        <v>757.5425</v>
      </c>
      <c r="D12" s="40" t="n">
        <v>0.1484727774338972</v>
      </c>
      <c r="E12" s="27" t="n">
        <v>0.1349785002904984</v>
      </c>
      <c r="F12" s="33" t="n"/>
    </row>
    <row r="13" customFormat="1" s="32">
      <c r="A13" s="31" t="n"/>
      <c r="B13" s="30" t="n"/>
      <c r="C13" s="30" t="n"/>
      <c r="D13" s="30" t="n"/>
      <c r="E13" s="30" t="n"/>
      <c r="F13" s="33" t="n"/>
    </row>
    <row r="14" customFormat="1" s="32">
      <c r="A14" s="31" t="n"/>
      <c r="B14" s="30" t="n"/>
      <c r="C14" s="33" t="n"/>
      <c r="D14" s="30" t="n"/>
      <c r="E14" s="33" t="n"/>
      <c r="F14" s="33" t="n"/>
    </row>
    <row r="15" customFormat="1" s="32">
      <c r="A15" s="31" t="n"/>
      <c r="B15" s="30" t="n"/>
      <c r="C15" s="30" t="n"/>
      <c r="D15" s="30" t="n"/>
      <c r="E15" s="33" t="n"/>
      <c r="F15" s="33" t="n"/>
    </row>
  </sheetData>
  <mergeCells count="4">
    <mergeCell ref="A2:F2"/>
    <mergeCell ref="A1:F1"/>
    <mergeCell ref="A7:F7"/>
    <mergeCell ref="A8:E8"/>
  </mergeCells>
  <conditionalFormatting sqref="A13">
    <cfRule type="duplicateValues" priority="7" dxfId="33"/>
    <cfRule type="duplicateValues" priority="2" dxfId="33"/>
    <cfRule type="duplicateValues" priority="1" dxfId="33"/>
  </conditionalFormatting>
  <conditionalFormatting sqref="B4:F6">
    <cfRule type="duplicateValues" priority="335" dxfId="33"/>
  </conditionalFormatting>
  <conditionalFormatting sqref="B10:E12">
    <cfRule type="duplicateValues" priority="336" dxfId="33"/>
  </conditionalFormatting>
  <pageMargins left="0.7" right="0.7" top="0.75" bottom="0.75" header="0.3" footer="0.3"/>
  <pageSetup orientation="landscape" paperSize="9" scale="96"/>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D1"/>
    </sheetView>
  </sheetViews>
  <sheetFormatPr baseColWidth="8" defaultColWidth="9" defaultRowHeight="15"/>
  <cols>
    <col width="25.875" customWidth="1" style="112" min="1" max="4"/>
    <col width="9" customWidth="1" style="112" min="5" max="16384"/>
  </cols>
  <sheetData>
    <row r="1" ht="19.5" customHeight="1" s="124">
      <c r="A1" s="108" t="inlineStr">
        <is>
          <t>Materials</t>
        </is>
      </c>
    </row>
    <row r="2">
      <c r="A2" s="107" t="inlineStr">
        <is>
          <t>1. Test compound was provided by the sponsor. The compound information is listed in Table 3.</t>
        </is>
      </c>
    </row>
    <row r="3" ht="15.75" customHeight="1" s="124" thickBot="1">
      <c r="A3" s="109" t="inlineStr">
        <is>
          <t>Table 3. Compound information</t>
        </is>
      </c>
    </row>
    <row r="4">
      <c r="A4" s="42" t="inlineStr">
        <is>
          <t>Compound ID</t>
        </is>
      </c>
      <c r="B4" s="43" t="inlineStr">
        <is>
          <t>MW (g/mol)</t>
        </is>
      </c>
      <c r="C4" s="43" t="inlineStr">
        <is>
          <t>FW (g/mol)</t>
        </is>
      </c>
      <c r="D4" s="44" t="inlineStr">
        <is>
          <t>Purity</t>
        </is>
      </c>
    </row>
    <row r="5" ht="15.75" customHeight="1" s="124" thickBot="1">
      <c r="A5" s="45" t="inlineStr">
        <is>
          <t>PH-NTU-00-00-000-1</t>
        </is>
      </c>
      <c r="B5" s="46" t="n">
        <v>460.54</v>
      </c>
      <c r="C5" s="46" t="n">
        <v>460.54</v>
      </c>
      <c r="D5" s="47" t="inlineStr">
        <is>
          <t>98.6%</t>
        </is>
      </c>
      <c r="E5" s="126" t="n"/>
    </row>
    <row r="6">
      <c r="A6" s="110" t="inlineStr">
        <is>
          <t>2. Caco-2 cell was obtained from the American type culture collection (ATCC), and the ATCC® Number is HTB-37.</t>
        </is>
      </c>
      <c r="B6" s="127" t="n"/>
      <c r="C6" s="127" t="n"/>
      <c r="D6" s="127" t="n"/>
    </row>
    <row r="7" ht="49.5" customHeight="1" s="124">
      <c r="A7" s="107" t="inlineStr">
        <is>
          <t>3. Hepes, Penicillin, Streptomycin, Trypsin/EDTA and DMSO are purchased from Solarbio. Hank’s balanced salt solution (HBSS) and Non-essential amino acids (NEAA) are all purchased from Gibco by Thermo Fisher Scientific.  Fetal bovine serum are purchased from AUS. Dulbecco’s Modified Eagle’s Medium (DMEM) are purchased from HyClone Corporation.</t>
        </is>
      </c>
    </row>
    <row r="8">
      <c r="A8" s="107" t="inlineStr">
        <is>
          <t>4. HTS Transwell-96 Well (Cat. No. 3391) Permeable Supports and other sterile plastic ware are purchased from Corning Corporation.</t>
        </is>
      </c>
    </row>
    <row r="9" ht="46.5" customHeight="1" s="124">
      <c r="A9" s="107" t="inlineStr">
        <is>
          <t xml:space="preserve">5. Millicell Epithelial Volt-Ohm measuring system is purchased from Millipore. Cellometer® Vision is purchased from Nexcelom Bioscience LLC. Infinite 200 PRO microplate reader is purchased from Tecan. MTS2/4 orbital shaker is purchased from IKA Labortechnik. </t>
        </is>
      </c>
    </row>
    <row r="10"/>
    <row r="11"/>
    <row r="12">
      <c r="B12" s="95" t="n"/>
      <c r="C12" s="95" t="n"/>
      <c r="D12" s="95" t="n"/>
    </row>
  </sheetData>
  <mergeCells count="7">
    <mergeCell ref="A1:D1"/>
    <mergeCell ref="A9:D9"/>
    <mergeCell ref="A8:D8"/>
    <mergeCell ref="A6:D6"/>
    <mergeCell ref="A3:D3"/>
    <mergeCell ref="A7:D7"/>
    <mergeCell ref="A2:D2"/>
  </mergeCells>
  <conditionalFormatting sqref="C4:D4">
    <cfRule type="duplicateValues" priority="222" dxfId="43"/>
  </conditionalFormatting>
  <conditionalFormatting sqref="D4">
    <cfRule type="duplicateValues" priority="223" dxfId="43"/>
  </conditionalFormatting>
  <conditionalFormatting sqref="C4">
    <cfRule type="duplicateValues" priority="225" dxfId="43"/>
  </conditionalFormatting>
  <conditionalFormatting sqref="B4">
    <cfRule type="duplicateValues" priority="47" dxfId="43"/>
    <cfRule type="duplicateValues" priority="48" dxfId="43"/>
  </conditionalFormatting>
  <conditionalFormatting sqref="A7 A9">
    <cfRule type="duplicateValues" priority="14" dxfId="33"/>
  </conditionalFormatting>
  <conditionalFormatting sqref="A6">
    <cfRule type="duplicateValues" priority="13" dxfId="33"/>
  </conditionalFormatting>
  <conditionalFormatting sqref="A8">
    <cfRule type="duplicateValues" priority="12" dxfId="33"/>
  </conditionalFormatting>
  <conditionalFormatting sqref="A5">
    <cfRule type="duplicateValues" priority="304" dxfId="33"/>
    <cfRule type="duplicateValues" priority="337" dxfId="33"/>
  </conditionalFormatting>
  <conditionalFormatting sqref="A1:A5 A28:A1048576">
    <cfRule type="duplicateValues" priority="328" dxfId="33"/>
  </conditionalFormatting>
  <conditionalFormatting sqref="A28:A1048576">
    <cfRule type="duplicateValues" priority="331" dxfId="33"/>
  </conditionalFormatting>
  <conditionalFormatting sqref="A5 A10:A11">
    <cfRule type="duplicateValues" priority="2" dxfId="33"/>
  </conditionalFormatting>
  <pageMargins left="0.7" right="0.7" top="0.75" bottom="0.75" header="0.3" footer="0.3"/>
  <pageSetup orientation="portrait" horizontalDpi="1200" verticalDpi="1200"/>
</worksheet>
</file>

<file path=xl/worksheets/sheet4.xml><?xml version="1.0" encoding="utf-8"?>
<worksheet xmlns="http://schemas.openxmlformats.org/spreadsheetml/2006/main">
  <sheetPr>
    <outlinePr summaryBelow="1" summaryRight="1"/>
    <pageSetUpPr/>
  </sheetPr>
  <dimension ref="A1:G29"/>
  <sheetViews>
    <sheetView workbookViewId="0">
      <selection activeCell="A1" sqref="A1:G1"/>
    </sheetView>
  </sheetViews>
  <sheetFormatPr baseColWidth="8" defaultColWidth="9.125" defaultRowHeight="13.5"/>
  <cols>
    <col width="18" customWidth="1" style="12" min="1" max="7"/>
    <col width="9.125" customWidth="1" style="12" min="8" max="16384"/>
  </cols>
  <sheetData>
    <row r="1" ht="19.5" customHeight="1" s="124">
      <c r="A1" s="115" t="inlineStr">
        <is>
          <t>Study Design</t>
        </is>
      </c>
    </row>
    <row r="2" ht="17.25" customHeight="1" s="124">
      <c r="A2" s="116" t="inlineStr">
        <is>
          <t>1. Preparation of Caco-2 Cells</t>
        </is>
      </c>
    </row>
    <row r="3" ht="33.75" customHeight="1" s="124">
      <c r="A3" s="114" t="inlineStr">
        <is>
          <t>1) 50 μL and 25 mL of cell culture medium were added to each well of the Transwell insert and reservoir, respectively. And then the HTS transwell plates were incubated at 37 °C, 5% CO2 for 1 hour before cell seeding.</t>
        </is>
      </c>
    </row>
    <row r="4" ht="52.5" customHeight="1" s="124">
      <c r="A4" s="114" t="inlineStr">
        <is>
          <t>2) Caco-2 cells were diluted to 6.86х105 cells/mL with culture medium and 50 μL of cell suspension were dispensed into the filter well of the 96-well HTS Transwell plate. Cells were cultivated for 14-18 days in a cell culture incubator at 37 °C, 5% CO2, 95% relative humidity. Cell culture medium was replaced every other day, beginning no later than 24 hours after initial plating.</t>
        </is>
      </c>
    </row>
    <row r="5" ht="15" customHeight="1" s="124">
      <c r="A5" s="116" t="inlineStr">
        <is>
          <t>2. Assessment of Cell Monolayer Integrity</t>
        </is>
      </c>
    </row>
    <row r="6" ht="15" customHeight="1" s="124">
      <c r="A6" s="114" t="inlineStr">
        <is>
          <t>1) Medium was removed from the reservoir and each Transwell insert and replaced with prewarmed fresh culture medium.</t>
        </is>
      </c>
    </row>
    <row r="7" ht="16.5" customHeight="1" s="124">
      <c r="A7" s="114" t="inlineStr">
        <is>
          <t>2) Transepithelial electrical resistance (TEER) across the monolayer was measured using Millicell Epithelial Volt-Ohm measuring system (Millipore, USA).</t>
        </is>
      </c>
    </row>
    <row r="8" ht="18" customHeight="1" s="124">
      <c r="A8" s="114" t="inlineStr">
        <is>
          <t>3) The Plate was returned to the incubator once the measurement was done.</t>
        </is>
      </c>
    </row>
    <row r="9" ht="50.25" customHeight="1" s="124">
      <c r="A9" s="114" t="inlineStr">
        <is>
          <t>The TEER value was calculated according to the following equation:
TEER measurement (ohms) x Area of membrane (cm2) = TEER value (ohm•cm2)
TEER value should be greater than 230 ohm•cm2, which indicates the well-qualified Caco-2 monolayer.</t>
        </is>
      </c>
    </row>
    <row r="10" ht="15" customFormat="1" customHeight="1" s="13">
      <c r="A10" s="113" t="inlineStr">
        <is>
          <t>3. Preparation of Solutions</t>
        </is>
      </c>
    </row>
    <row r="11" ht="50.25" customFormat="1" customHeight="1" s="13">
      <c r="A11" s="111" t="inlineStr">
        <is>
          <t>1) Prepare stock solutions of test compounds in DMSO at 1 mM and dilute with HBSS (10 mM HEPES , pH 7.4) to get 5 μM working solution. Metoprolol and Digoxin are used as control compounds, prepare stock solutions of control compounds in DMSO at 2 mM and dilute with HBSS (10 mM HEPES, pH 7.4)  to get 10 μM working solution.</t>
        </is>
      </c>
    </row>
    <row r="12" ht="15" customFormat="1" customHeight="1" s="13">
      <c r="A12" s="113" t="inlineStr">
        <is>
          <t>4. Performing the Drug Transport Assay</t>
        </is>
      </c>
    </row>
    <row r="13" ht="33.75" customFormat="1" customHeight="1" s="13">
      <c r="A13" s="111" t="inlineStr">
        <is>
          <t>1) Remove the Caco-2 plate from the incubator. Wash the monolayer twice with pre-warmed HBSS (10 mM HEPES, pH 7.4). Then incubate the plate at 37 °C for 30 minutes.</t>
        </is>
      </c>
    </row>
    <row r="14" ht="63.75" customFormat="1" customHeight="1" s="14">
      <c r="A14" s="111" t="inlineStr">
        <is>
          <t xml:space="preserve">2) To determine the rate of drug transport in the apical to basolateral direction. Add 125 μL of the working solution to the Transwell insert (apical compartment), and transfer 50 μL sample immediately from the apical compartment to 400 μL of quenching solvents containing IS (100 nM alprazolam, 200 nM Caffeine and 100 nM tolbutamide) in a new 96-well plate as the initial donor sample (A-B). Vortex at 1000 rpm for 10 minutes. Fill the wells in the receiver plate (basolateral compartment) with 235 μL of transport buffer . </t>
        </is>
      </c>
    </row>
    <row r="15" ht="78.75" customFormat="1" customHeight="1" s="14">
      <c r="A15" s="111" t="inlineStr">
        <is>
          <t>3) To determine the rate of drug transport in the basolateral to apical direction. Add 285 μL of the working solution to the receiver plate wells (basolateral compartment), and transfer 50 μL sample immediately from the basolateral compartment to 400 μL of quenching solvents containing IS (100 nM alprazolam, 200 nM Caffeine and 100 nM tolbutamide) in a new 96-well plate as the initial donor sample (B-A). Fill the Transwell insert (apical compartment) with 75 μL of transport buffer. Shake the plate at 1000 rpm 10 minutes. The apical to basolateral direction and the basolateral to apical direction need to be done at the same time.</t>
        </is>
      </c>
    </row>
    <row r="16" ht="15" customFormat="1" customHeight="1" s="14">
      <c r="A16" s="112" t="inlineStr">
        <is>
          <t>4) The plates were incubated at 37 °C for 2 hours.</t>
        </is>
      </c>
    </row>
    <row r="17" ht="76.5" customFormat="1" customHeight="1" s="14">
      <c r="A17" s="112" t="inlineStr">
        <is>
          <t>5) At the end of the incubation, 50 μL samples from donor sides (apical compartment for Ap→Bl flux, and basolateral compartment for Bl→Ap) and receiver sides (basolateral compartment for Ap→Bl flux, and apical compartment for Bl→Ap) were transferred to wells of a new 96-well plate, followed by the addition of 8 volume of quenching solvents containing IS (100 nM alprazolam, 200 nM Caffeine and 100 nM tolbutamide). All samples were Vortexed for 10 minutes, and then centrifuge the quenching plates of each time point for 30 minutes at 4,000 rpm and 4°C. Then transfer the supernatant was mixed with an appropriate volume of ultra-pure water before LC-MS/MS analysis.</t>
        </is>
      </c>
    </row>
    <row r="18" ht="99.95" customFormat="1" customHeight="1" s="14">
      <c r="A18" s="112" t="inlineStr">
        <is>
          <t>6) To determine the Lucifer Yellow leakage after 2 hour transport period, stock solution of Lucifer yellow was prepared in DMSO and diluted with HBSS (10 mM HEPES, pH 7.4) to reach the final concentration of 100 μM. 100 μL of the Lucifer yellow solution was added to each Transwell insert (apical compartment), followed by filling the wells in the receiver plate (basolateral compartment) with 300 μL of HBSS (10 mM HEPES, pH 7.4). The plates were Incubated at 37 °C for 30 mins. 80 μL samples were removed directly from the apical and basolateral wells (using the basolateral access holes) and transferred to wells of new 96 wells plates. The Lucifer Yellow fluorescence (to monitor monolayer integrity) signal was measured in a fluorescence plate reader at 480 nM excitation and 530 nM emission.</t>
        </is>
      </c>
    </row>
    <row r="19" ht="18" customFormat="1" customHeight="1" s="13">
      <c r="A19" s="113" t="inlineStr">
        <is>
          <t>5. Data analysis</t>
        </is>
      </c>
    </row>
    <row r="20" ht="15" customFormat="1" customHeight="1" s="13">
      <c r="A20" s="111" t="inlineStr">
        <is>
          <t>All calculations are carried out using Microsoft Excel. Peak areas are determined from extracted ion chromatograms.</t>
        </is>
      </c>
    </row>
    <row r="21" ht="15" customFormat="1" customHeight="1" s="13">
      <c r="A21" s="111" t="inlineStr">
        <is>
          <t>Lucifer yellow leakage of monolayer can be calculated using the following equation:</t>
        </is>
      </c>
    </row>
    <row r="22" ht="37.5" customFormat="1" customHeight="1" s="13">
      <c r="A22" s="111" t="n"/>
    </row>
    <row r="23" ht="81.75" customFormat="1" customHeight="1" s="13">
      <c r="A23" s="111" t="inlineStr">
        <is>
          <t>Where Iacceptor is the fluorescence intensity in the acceptor well (0.3 mL), and Idonor is the fluorescence intensity in the donor well (0.1 mL) and expressed as % leakage. Lucifer yellow percentage amount transported values should be less than 1.5 %. However, if the lucifer yellow percentage amount transported value for a particular transwell is higher than 1.5 but the determined digoxin Papp in that transwell is qualitatively similar to that determined in the replicate transwells then, based upon the scientific judgement of the responsible scientist, the monolayer is considered acceptable.</t>
        </is>
      </c>
    </row>
    <row r="24" ht="15" customFormat="1" customHeight="1" s="13">
      <c r="A24" s="111" t="inlineStr">
        <is>
          <t>Apparent permeability (Papp) can be calculated for drug transport assays using the following equation:</t>
        </is>
      </c>
    </row>
    <row r="25" ht="45.75" customFormat="1" customHeight="1" s="13">
      <c r="A25" s="111" t="n"/>
    </row>
    <row r="26" ht="68.25" customFormat="1" customHeight="1" s="13">
      <c r="A26" s="111" t="inlineStr">
        <is>
          <t>Where: Papp is apparent permeability (cm/s x 10-6)
VA is the volume (in mL) in the acceptor well
Area is the surface area of the membrane (0.143 cm2 for Transwell-96 Well Permeable Supports)
time is the total transport time in seconds.</t>
        </is>
      </c>
    </row>
    <row r="27" ht="15" customFormat="1" customHeight="1" s="13">
      <c r="A27" s="111" t="inlineStr">
        <is>
          <t>Efflux ratio can be determined using the following equation:</t>
        </is>
      </c>
    </row>
    <row r="28" ht="39.75" customFormat="1" customHeight="1" s="13">
      <c r="A28" s="111" t="n"/>
    </row>
    <row r="29" ht="33.75" customFormat="1" customHeight="1" s="13">
      <c r="A29" s="111" t="inlineStr">
        <is>
          <t>Where Papp (B-A) indicates the apparent permeability coefficient in basolateral to apical direction, and Papp (A-B) indicates the apparent permeability coefficient in apical to basolateral direction.</t>
        </is>
      </c>
    </row>
  </sheetData>
  <mergeCells count="29">
    <mergeCell ref="A14:G14"/>
    <mergeCell ref="A17:G17"/>
    <mergeCell ref="A8:G8"/>
    <mergeCell ref="A22:G22"/>
    <mergeCell ref="A4:G4"/>
    <mergeCell ref="A20:G20"/>
    <mergeCell ref="A29:G29"/>
    <mergeCell ref="A19:G19"/>
    <mergeCell ref="A10:G10"/>
    <mergeCell ref="A28:G28"/>
    <mergeCell ref="A13:G13"/>
    <mergeCell ref="A9:G9"/>
    <mergeCell ref="A24:G24"/>
    <mergeCell ref="A15:G15"/>
    <mergeCell ref="A11:G11"/>
    <mergeCell ref="A1:G1"/>
    <mergeCell ref="A6:G6"/>
    <mergeCell ref="A16:G16"/>
    <mergeCell ref="A7:G7"/>
    <mergeCell ref="A25:G25"/>
    <mergeCell ref="A18:G18"/>
    <mergeCell ref="A27:G27"/>
    <mergeCell ref="A3:G3"/>
    <mergeCell ref="A21:G21"/>
    <mergeCell ref="A12:G12"/>
    <mergeCell ref="A26:G26"/>
    <mergeCell ref="A2:G2"/>
    <mergeCell ref="A5:G5"/>
    <mergeCell ref="A23:G23"/>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XFA24"/>
  <sheetViews>
    <sheetView zoomScaleNormal="100" workbookViewId="0">
      <selection activeCell="A1" sqref="A1:G1"/>
    </sheetView>
  </sheetViews>
  <sheetFormatPr baseColWidth="8" defaultColWidth="12.125" defaultRowHeight="15"/>
  <cols>
    <col width="21.625" customWidth="1" style="107" min="1" max="1"/>
    <col width="12.625" customWidth="1" style="107" min="2" max="7"/>
    <col width="12.125" customWidth="1" style="107" min="8" max="16384"/>
  </cols>
  <sheetData>
    <row r="1" ht="19.5" customHeight="1" s="124">
      <c r="A1" s="108" t="inlineStr">
        <is>
          <t>Bioanalytical Method</t>
        </is>
      </c>
    </row>
    <row r="2">
      <c r="A2" s="117" t="inlineStr">
        <is>
          <t>1. Chromatographic conditions</t>
        </is>
      </c>
    </row>
    <row r="3">
      <c r="A3" s="118" t="inlineStr">
        <is>
          <t>LC system: Shimadzu LC 30AD</t>
        </is>
      </c>
    </row>
    <row r="4">
      <c r="A4" s="118" t="inlineStr">
        <is>
          <t>MS analysis: Triple Quad 6500+ from AB Inc with an ESI interface</t>
        </is>
      </c>
    </row>
    <row r="5">
      <c r="A5" s="118" t="inlineStr">
        <is>
          <t>Column temperature: 40°C</t>
        </is>
      </c>
    </row>
    <row r="6">
      <c r="A6" s="118" t="inlineStr">
        <is>
          <t>Column: XSelect® HSS T3 2.5 μm 2.1×50 mm Column XP</t>
        </is>
      </c>
    </row>
    <row r="7">
      <c r="A7" s="118" t="inlineStr">
        <is>
          <t xml:space="preserve">Mobile phase: 0.1% formic acid in H2O (A) and 0.1% formic acid in acetonitrile (B) </t>
        </is>
      </c>
      <c r="H7" s="119" t="n"/>
      <c r="L7" s="118" t="n"/>
      <c r="S7" s="118" t="n"/>
      <c r="Z7" s="118" t="n"/>
      <c r="AG7" s="118" t="n"/>
      <c r="AN7" s="118" t="n"/>
      <c r="AU7" s="118" t="n"/>
      <c r="BB7" s="118" t="n"/>
      <c r="BI7" s="118" t="n"/>
      <c r="BP7" s="118" t="n"/>
      <c r="BW7" s="118" t="n"/>
      <c r="CD7" s="118" t="n"/>
      <c r="CK7" s="118" t="n"/>
      <c r="CR7" s="118" t="n"/>
      <c r="CY7" s="118" t="n"/>
      <c r="DF7" s="118" t="n"/>
      <c r="DM7" s="118" t="n"/>
      <c r="DT7" s="118" t="n"/>
      <c r="EA7" s="118" t="n"/>
      <c r="EH7" s="118" t="n"/>
      <c r="EO7" s="118" t="n"/>
      <c r="EV7" s="118" t="n"/>
      <c r="FC7" s="118" t="n"/>
      <c r="FJ7" s="118" t="n"/>
      <c r="FQ7" s="118" t="n"/>
      <c r="FX7" s="118" t="n"/>
      <c r="GE7" s="118" t="n"/>
      <c r="GL7" s="118" t="n"/>
      <c r="GS7" s="118" t="n"/>
      <c r="GZ7" s="118" t="n"/>
      <c r="HG7" s="118" t="n"/>
      <c r="HN7" s="118" t="n"/>
      <c r="HU7" s="118" t="n"/>
      <c r="IB7" s="118" t="n"/>
      <c r="II7" s="118" t="n"/>
      <c r="IP7" s="118" t="n"/>
      <c r="IW7" s="118" t="n"/>
      <c r="JD7" s="118" t="n"/>
      <c r="JK7" s="118" t="n"/>
      <c r="JR7" s="118" t="n"/>
      <c r="JY7" s="118" t="n"/>
      <c r="KF7" s="118" t="n"/>
      <c r="KM7" s="118" t="n"/>
      <c r="KT7" s="118" t="n"/>
      <c r="LA7" s="118" t="n"/>
      <c r="LH7" s="118" t="n"/>
      <c r="LO7" s="118" t="n"/>
      <c r="LV7" s="118" t="n"/>
      <c r="MC7" s="118" t="n"/>
      <c r="MJ7" s="118" t="n"/>
      <c r="MQ7" s="118" t="n"/>
      <c r="MX7" s="118" t="n"/>
      <c r="NE7" s="118" t="n"/>
      <c r="NL7" s="118" t="n"/>
      <c r="NS7" s="118" t="n"/>
      <c r="NZ7" s="118" t="n"/>
      <c r="OG7" s="118" t="n"/>
      <c r="ON7" s="118" t="n"/>
      <c r="OU7" s="118" t="n"/>
      <c r="PB7" s="118" t="n"/>
      <c r="PI7" s="118" t="n"/>
      <c r="PP7" s="118" t="n"/>
      <c r="PW7" s="118" t="n"/>
      <c r="QD7" s="118" t="n"/>
      <c r="QK7" s="118" t="n"/>
      <c r="QR7" s="118" t="n"/>
      <c r="QY7" s="118" t="n"/>
      <c r="RF7" s="118" t="n"/>
      <c r="RM7" s="118" t="n"/>
      <c r="RT7" s="118" t="n"/>
      <c r="SA7" s="118" t="n"/>
      <c r="SH7" s="118" t="n"/>
      <c r="SO7" s="118" t="n"/>
      <c r="SV7" s="118" t="n"/>
      <c r="TC7" s="118" t="n"/>
      <c r="TJ7" s="118" t="n"/>
      <c r="TQ7" s="118" t="n"/>
      <c r="TX7" s="118" t="n"/>
      <c r="UE7" s="118" t="n"/>
      <c r="UL7" s="118" t="n"/>
      <c r="US7" s="118" t="n"/>
      <c r="UZ7" s="118" t="n"/>
      <c r="VG7" s="118" t="n"/>
      <c r="VN7" s="118" t="n"/>
      <c r="VU7" s="118" t="n"/>
      <c r="WB7" s="118" t="n"/>
      <c r="WI7" s="118" t="n"/>
      <c r="WP7" s="118" t="n"/>
      <c r="WW7" s="118" t="n"/>
      <c r="XD7" s="118" t="n"/>
      <c r="XK7" s="118" t="n"/>
      <c r="XR7" s="118" t="n"/>
      <c r="XY7" s="118" t="n"/>
      <c r="YF7" s="118" t="n"/>
      <c r="YM7" s="118" t="n"/>
      <c r="YT7" s="118" t="n"/>
      <c r="ZA7" s="118" t="n"/>
      <c r="ZH7" s="118" t="n"/>
      <c r="ZO7" s="118" t="n"/>
      <c r="ZV7" s="118" t="n"/>
      <c r="AAC7" s="118" t="n"/>
      <c r="AAJ7" s="118" t="n"/>
      <c r="AAQ7" s="118" t="n"/>
      <c r="AAX7" s="118" t="n"/>
      <c r="ABE7" s="118" t="n"/>
      <c r="ABL7" s="118" t="n"/>
      <c r="ABS7" s="118" t="n"/>
      <c r="ABZ7" s="118" t="n"/>
      <c r="ACG7" s="118" t="n"/>
      <c r="ACN7" s="118" t="n"/>
      <c r="ACU7" s="118" t="n"/>
      <c r="ADB7" s="118" t="n"/>
      <c r="ADI7" s="118" t="n"/>
      <c r="ADP7" s="118" t="n"/>
      <c r="ADW7" s="118" t="n"/>
      <c r="AED7" s="118" t="n"/>
      <c r="AEK7" s="118" t="n"/>
      <c r="AER7" s="118" t="n"/>
      <c r="AEY7" s="118" t="n"/>
      <c r="AFF7" s="118" t="n"/>
      <c r="AFM7" s="118" t="n"/>
      <c r="AFT7" s="118" t="n"/>
      <c r="AGA7" s="118" t="n"/>
      <c r="AGH7" s="118" t="n"/>
      <c r="AGO7" s="118" t="n"/>
      <c r="AGV7" s="118" t="n"/>
      <c r="AHC7" s="118" t="n"/>
      <c r="AHJ7" s="118" t="n"/>
      <c r="AHQ7" s="118" t="n"/>
      <c r="AHX7" s="118" t="n"/>
      <c r="AIE7" s="118" t="n"/>
      <c r="AIL7" s="118" t="n"/>
      <c r="AIS7" s="118" t="n"/>
      <c r="AIZ7" s="118" t="n"/>
      <c r="AJG7" s="118" t="n"/>
      <c r="AJN7" s="118" t="n"/>
      <c r="AJU7" s="118" t="n"/>
      <c r="AKB7" s="118" t="n"/>
      <c r="AKI7" s="118" t="n"/>
      <c r="AKP7" s="118" t="n"/>
      <c r="AKW7" s="118" t="n"/>
      <c r="ALD7" s="118" t="n"/>
      <c r="ALK7" s="118" t="n"/>
      <c r="ALR7" s="118" t="n"/>
      <c r="ALY7" s="118" t="n"/>
      <c r="AMF7" s="118" t="n"/>
      <c r="AMM7" s="118" t="n"/>
      <c r="AMT7" s="118" t="n"/>
      <c r="ANA7" s="118" t="n"/>
      <c r="ANH7" s="118" t="n"/>
      <c r="ANO7" s="118" t="n"/>
      <c r="ANV7" s="118" t="n"/>
      <c r="AOC7" s="118" t="n"/>
      <c r="AOJ7" s="118" t="n"/>
      <c r="AOQ7" s="118" t="n"/>
      <c r="AOX7" s="118" t="n"/>
      <c r="APE7" s="118" t="n"/>
      <c r="APL7" s="118" t="n"/>
      <c r="APS7" s="118" t="n"/>
      <c r="APZ7" s="118" t="n"/>
      <c r="AQG7" s="118" t="n"/>
      <c r="AQN7" s="118" t="n"/>
      <c r="AQU7" s="118" t="n"/>
      <c r="ARB7" s="118" t="n"/>
      <c r="ARI7" s="118" t="n"/>
      <c r="ARP7" s="118" t="n"/>
      <c r="ARW7" s="118" t="n"/>
      <c r="ASD7" s="118" t="n"/>
      <c r="ASK7" s="118" t="n"/>
      <c r="ASR7" s="118" t="n"/>
      <c r="ASY7" s="118" t="n"/>
      <c r="ATF7" s="118" t="n"/>
      <c r="ATM7" s="118" t="n"/>
      <c r="ATT7" s="118" t="n"/>
      <c r="AUA7" s="118" t="n"/>
      <c r="AUH7" s="118" t="n"/>
      <c r="AUO7" s="118" t="n"/>
      <c r="AUV7" s="118" t="n"/>
      <c r="AVC7" s="118" t="n"/>
      <c r="AVJ7" s="118" t="n"/>
      <c r="AVQ7" s="118" t="n"/>
      <c r="AVX7" s="118" t="n"/>
      <c r="AWE7" s="118" t="n"/>
      <c r="AWL7" s="118" t="n"/>
      <c r="AWS7" s="118" t="n"/>
      <c r="AWZ7" s="118" t="n"/>
      <c r="AXG7" s="118" t="n"/>
      <c r="AXN7" s="118" t="n"/>
      <c r="AXU7" s="118" t="n"/>
      <c r="AYB7" s="118" t="n"/>
      <c r="AYI7" s="118" t="n"/>
      <c r="AYP7" s="118" t="n"/>
      <c r="AYW7" s="118" t="n"/>
      <c r="AZD7" s="118" t="n"/>
      <c r="AZK7" s="118" t="n"/>
      <c r="AZR7" s="118" t="n"/>
      <c r="AZY7" s="118" t="n"/>
      <c r="BAF7" s="118" t="n"/>
      <c r="BAM7" s="118" t="n"/>
      <c r="BAT7" s="118" t="n"/>
      <c r="BBA7" s="118" t="n"/>
      <c r="BBH7" s="118" t="n"/>
      <c r="BBO7" s="118" t="n"/>
      <c r="BBV7" s="118" t="n"/>
      <c r="BCC7" s="118" t="n"/>
      <c r="BCJ7" s="118" t="n"/>
      <c r="BCQ7" s="118" t="n"/>
      <c r="BCX7" s="118" t="n"/>
      <c r="BDE7" s="118" t="n"/>
      <c r="BDL7" s="118" t="n"/>
      <c r="BDS7" s="118" t="n"/>
      <c r="BDZ7" s="118" t="n"/>
      <c r="BEG7" s="118" t="n"/>
      <c r="BEN7" s="118" t="n"/>
      <c r="BEU7" s="118" t="n"/>
      <c r="BFB7" s="118" t="n"/>
      <c r="BFI7" s="118" t="n"/>
      <c r="BFP7" s="118" t="n"/>
      <c r="BFW7" s="118" t="n"/>
      <c r="BGD7" s="118" t="n"/>
      <c r="BGK7" s="118" t="n"/>
      <c r="BGR7" s="118" t="n"/>
      <c r="BGY7" s="118" t="n"/>
      <c r="BHF7" s="118" t="n"/>
      <c r="BHM7" s="118" t="n"/>
      <c r="BHT7" s="118" t="n"/>
      <c r="BIA7" s="118" t="n"/>
      <c r="BIH7" s="118" t="n"/>
      <c r="BIO7" s="118" t="n"/>
      <c r="BIV7" s="118" t="n"/>
      <c r="BJC7" s="118" t="n"/>
      <c r="BJJ7" s="118" t="n"/>
      <c r="BJQ7" s="118" t="n"/>
      <c r="BJX7" s="118" t="n"/>
      <c r="BKE7" s="118" t="n"/>
      <c r="BKL7" s="118" t="n"/>
      <c r="BKS7" s="118" t="n"/>
      <c r="BKZ7" s="118" t="n"/>
      <c r="BLG7" s="118" t="n"/>
      <c r="BLN7" s="118" t="n"/>
      <c r="BLU7" s="118" t="n"/>
      <c r="BMB7" s="118" t="n"/>
      <c r="BMI7" s="118" t="n"/>
      <c r="BMP7" s="118" t="n"/>
      <c r="BMW7" s="118" t="n"/>
      <c r="BND7" s="118" t="n"/>
      <c r="BNK7" s="118" t="n"/>
      <c r="BNR7" s="118" t="n"/>
      <c r="BNY7" s="118" t="n"/>
      <c r="BOF7" s="118" t="n"/>
      <c r="BOM7" s="118" t="n"/>
      <c r="BOT7" s="118" t="n"/>
      <c r="BPA7" s="118" t="n"/>
      <c r="BPH7" s="118" t="n"/>
      <c r="BPO7" s="118" t="n"/>
      <c r="BPV7" s="118" t="n"/>
      <c r="BQC7" s="118" t="n"/>
      <c r="BQJ7" s="118" t="n"/>
      <c r="BQQ7" s="118" t="n"/>
      <c r="BQX7" s="118" t="n"/>
      <c r="BRE7" s="118" t="n"/>
      <c r="BRL7" s="118" t="n"/>
      <c r="BRS7" s="118" t="n"/>
      <c r="BRZ7" s="118" t="n"/>
      <c r="BSG7" s="118" t="n"/>
      <c r="BSN7" s="118" t="n"/>
      <c r="BSU7" s="118" t="n"/>
      <c r="BTB7" s="118" t="n"/>
      <c r="BTI7" s="118" t="n"/>
      <c r="BTP7" s="118" t="n"/>
      <c r="BTW7" s="118" t="n"/>
      <c r="BUD7" s="118" t="n"/>
      <c r="BUK7" s="118" t="n"/>
      <c r="BUR7" s="118" t="n"/>
      <c r="BUY7" s="118" t="n"/>
      <c r="BVF7" s="118" t="n"/>
      <c r="BVM7" s="118" t="n"/>
      <c r="BVT7" s="118" t="n"/>
      <c r="BWA7" s="118" t="n"/>
      <c r="BWH7" s="118" t="n"/>
      <c r="BWO7" s="118" t="n"/>
      <c r="BWV7" s="118" t="n"/>
      <c r="BXC7" s="118" t="n"/>
      <c r="BXJ7" s="118" t="n"/>
      <c r="BXQ7" s="118" t="n"/>
      <c r="BXX7" s="118" t="n"/>
      <c r="BYE7" s="118" t="n"/>
      <c r="BYL7" s="118" t="n"/>
      <c r="BYS7" s="118" t="n"/>
      <c r="BYZ7" s="118" t="n"/>
      <c r="BZG7" s="118" t="n"/>
      <c r="BZN7" s="118" t="n"/>
      <c r="BZU7" s="118" t="n"/>
      <c r="CAB7" s="118" t="n"/>
      <c r="CAI7" s="118" t="n"/>
      <c r="CAP7" s="118" t="n"/>
      <c r="CAW7" s="118" t="n"/>
      <c r="CBD7" s="118" t="n"/>
      <c r="CBK7" s="118" t="n"/>
      <c r="CBR7" s="118" t="n"/>
      <c r="CBY7" s="118" t="n"/>
      <c r="CCF7" s="118" t="n"/>
      <c r="CCM7" s="118" t="n"/>
      <c r="CCT7" s="118" t="n"/>
      <c r="CDA7" s="118" t="n"/>
      <c r="CDH7" s="118" t="n"/>
      <c r="CDO7" s="118" t="n"/>
      <c r="CDV7" s="118" t="n"/>
      <c r="CEC7" s="118" t="n"/>
      <c r="CEJ7" s="118" t="n"/>
      <c r="CEQ7" s="118" t="n"/>
      <c r="CEX7" s="118" t="n"/>
      <c r="CFE7" s="118" t="n"/>
      <c r="CFL7" s="118" t="n"/>
      <c r="CFS7" s="118" t="n"/>
      <c r="CFZ7" s="118" t="n"/>
      <c r="CGG7" s="118" t="n"/>
      <c r="CGN7" s="118" t="n"/>
      <c r="CGU7" s="118" t="n"/>
      <c r="CHB7" s="118" t="n"/>
      <c r="CHI7" s="118" t="n"/>
      <c r="CHP7" s="118" t="n"/>
      <c r="CHW7" s="118" t="n"/>
      <c r="CID7" s="118" t="n"/>
      <c r="CIK7" s="118" t="n"/>
      <c r="CIR7" s="118" t="n"/>
      <c r="CIY7" s="118" t="n"/>
      <c r="CJF7" s="118" t="n"/>
      <c r="CJM7" s="118" t="n"/>
      <c r="CJT7" s="118" t="n"/>
      <c r="CKA7" s="118" t="n"/>
      <c r="CKH7" s="118" t="n"/>
      <c r="CKO7" s="118" t="n"/>
      <c r="CKV7" s="118" t="n"/>
      <c r="CLC7" s="118" t="n"/>
      <c r="CLJ7" s="118" t="n"/>
      <c r="CLQ7" s="118" t="n"/>
      <c r="CLX7" s="118" t="n"/>
      <c r="CME7" s="118" t="n"/>
      <c r="CML7" s="118" t="n"/>
      <c r="CMS7" s="118" t="n"/>
      <c r="CMZ7" s="118" t="n"/>
      <c r="CNG7" s="118" t="n"/>
      <c r="CNN7" s="118" t="n"/>
      <c r="CNU7" s="118" t="n"/>
      <c r="COB7" s="118" t="n"/>
      <c r="COI7" s="118" t="n"/>
      <c r="COP7" s="118" t="n"/>
      <c r="COW7" s="118" t="n"/>
      <c r="CPD7" s="118" t="n"/>
      <c r="CPK7" s="118" t="n"/>
      <c r="CPR7" s="118" t="n"/>
      <c r="CPY7" s="118" t="n"/>
      <c r="CQF7" s="118" t="n"/>
      <c r="CQM7" s="118" t="n"/>
      <c r="CQT7" s="118" t="n"/>
      <c r="CRA7" s="118" t="n"/>
      <c r="CRH7" s="118" t="n"/>
      <c r="CRO7" s="118" t="n"/>
      <c r="CRV7" s="118" t="n"/>
      <c r="CSC7" s="118" t="n"/>
      <c r="CSJ7" s="118" t="n"/>
      <c r="CSQ7" s="118" t="n"/>
      <c r="CSX7" s="118" t="n"/>
      <c r="CTE7" s="118" t="n"/>
      <c r="CTL7" s="118" t="n"/>
      <c r="CTS7" s="118" t="n"/>
      <c r="CTZ7" s="118" t="n"/>
      <c r="CUG7" s="118" t="n"/>
      <c r="CUN7" s="118" t="n"/>
      <c r="CUU7" s="118" t="n"/>
      <c r="CVB7" s="118" t="n"/>
      <c r="CVI7" s="118" t="n"/>
      <c r="CVP7" s="118" t="n"/>
      <c r="CVW7" s="118" t="n"/>
      <c r="CWD7" s="118" t="n"/>
      <c r="CWK7" s="118" t="n"/>
      <c r="CWR7" s="118" t="n"/>
      <c r="CWY7" s="118" t="n"/>
      <c r="CXF7" s="118" t="n"/>
      <c r="CXM7" s="118" t="n"/>
      <c r="CXT7" s="118" t="n"/>
      <c r="CYA7" s="118" t="n"/>
      <c r="CYH7" s="118" t="n"/>
      <c r="CYO7" s="118" t="n"/>
      <c r="CYV7" s="118" t="n"/>
      <c r="CZC7" s="118" t="n"/>
      <c r="CZJ7" s="118" t="n"/>
      <c r="CZQ7" s="118" t="n"/>
      <c r="CZX7" s="118" t="n"/>
      <c r="DAE7" s="118" t="n"/>
      <c r="DAL7" s="118" t="n"/>
      <c r="DAS7" s="118" t="n"/>
      <c r="DAZ7" s="118" t="n"/>
      <c r="DBG7" s="118" t="n"/>
      <c r="DBN7" s="118" t="n"/>
      <c r="DBU7" s="118" t="n"/>
      <c r="DCB7" s="118" t="n"/>
      <c r="DCI7" s="118" t="n"/>
      <c r="DCP7" s="118" t="n"/>
      <c r="DCW7" s="118" t="n"/>
      <c r="DDD7" s="118" t="n"/>
      <c r="DDK7" s="118" t="n"/>
      <c r="DDR7" s="118" t="n"/>
      <c r="DDY7" s="118" t="n"/>
      <c r="DEF7" s="118" t="n"/>
      <c r="DEM7" s="118" t="n"/>
      <c r="DET7" s="118" t="n"/>
      <c r="DFA7" s="118" t="n"/>
      <c r="DFH7" s="118" t="n"/>
      <c r="DFO7" s="118" t="n"/>
      <c r="DFV7" s="118" t="n"/>
      <c r="DGC7" s="118" t="n"/>
      <c r="DGJ7" s="118" t="n"/>
      <c r="DGQ7" s="118" t="n"/>
      <c r="DGX7" s="118" t="n"/>
      <c r="DHE7" s="118" t="n"/>
      <c r="DHL7" s="118" t="n"/>
      <c r="DHS7" s="118" t="n"/>
      <c r="DHZ7" s="118" t="n"/>
      <c r="DIG7" s="118" t="n"/>
      <c r="DIN7" s="118" t="n"/>
      <c r="DIU7" s="118" t="n"/>
      <c r="DJB7" s="118" t="n"/>
      <c r="DJI7" s="118" t="n"/>
      <c r="DJP7" s="118" t="n"/>
      <c r="DJW7" s="118" t="n"/>
      <c r="DKD7" s="118" t="n"/>
      <c r="DKK7" s="118" t="n"/>
      <c r="DKR7" s="118" t="n"/>
      <c r="DKY7" s="118" t="n"/>
      <c r="DLF7" s="118" t="n"/>
      <c r="DLM7" s="118" t="n"/>
      <c r="DLT7" s="118" t="n"/>
      <c r="DMA7" s="118" t="n"/>
      <c r="DMH7" s="118" t="n"/>
      <c r="DMO7" s="118" t="n"/>
      <c r="DMV7" s="118" t="n"/>
      <c r="DNC7" s="118" t="n"/>
      <c r="DNJ7" s="118" t="n"/>
      <c r="DNQ7" s="118" t="n"/>
      <c r="DNX7" s="118" t="n"/>
      <c r="DOE7" s="118" t="n"/>
      <c r="DOL7" s="118" t="n"/>
      <c r="DOS7" s="118" t="n"/>
      <c r="DOZ7" s="118" t="n"/>
      <c r="DPG7" s="118" t="n"/>
      <c r="DPN7" s="118" t="n"/>
      <c r="DPU7" s="118" t="n"/>
      <c r="DQB7" s="118" t="n"/>
      <c r="DQI7" s="118" t="n"/>
      <c r="DQP7" s="118" t="n"/>
      <c r="DQW7" s="118" t="n"/>
      <c r="DRD7" s="118" t="n"/>
      <c r="DRK7" s="118" t="n"/>
      <c r="DRR7" s="118" t="n"/>
      <c r="DRY7" s="118" t="n"/>
      <c r="DSF7" s="118" t="n"/>
      <c r="DSM7" s="118" t="n"/>
      <c r="DST7" s="118" t="n"/>
      <c r="DTA7" s="118" t="n"/>
      <c r="DTH7" s="118" t="n"/>
      <c r="DTO7" s="118" t="n"/>
      <c r="DTV7" s="118" t="n"/>
      <c r="DUC7" s="118" t="n"/>
      <c r="DUJ7" s="118" t="n"/>
      <c r="DUQ7" s="118" t="n"/>
      <c r="DUX7" s="118" t="n"/>
      <c r="DVE7" s="118" t="n"/>
      <c r="DVL7" s="118" t="n"/>
      <c r="DVS7" s="118" t="n"/>
      <c r="DVZ7" s="118" t="n"/>
      <c r="DWG7" s="118" t="n"/>
      <c r="DWN7" s="118" t="n"/>
      <c r="DWU7" s="118" t="n"/>
      <c r="DXB7" s="118" t="n"/>
      <c r="DXI7" s="118" t="n"/>
      <c r="DXP7" s="118" t="n"/>
      <c r="DXW7" s="118" t="n"/>
      <c r="DYD7" s="118" t="n"/>
      <c r="DYK7" s="118" t="n"/>
      <c r="DYR7" s="118" t="n"/>
      <c r="DYY7" s="118" t="n"/>
      <c r="DZF7" s="118" t="n"/>
      <c r="DZM7" s="118" t="n"/>
      <c r="DZT7" s="118" t="n"/>
      <c r="EAA7" s="118" t="n"/>
      <c r="EAH7" s="118" t="n"/>
      <c r="EAO7" s="118" t="n"/>
      <c r="EAV7" s="118" t="n"/>
      <c r="EBC7" s="118" t="n"/>
      <c r="EBJ7" s="118" t="n"/>
      <c r="EBQ7" s="118" t="n"/>
      <c r="EBX7" s="118" t="n"/>
      <c r="ECE7" s="118" t="n"/>
      <c r="ECL7" s="118" t="n"/>
      <c r="ECS7" s="118" t="n"/>
      <c r="ECZ7" s="118" t="n"/>
      <c r="EDG7" s="118" t="n"/>
      <c r="EDN7" s="118" t="n"/>
      <c r="EDU7" s="118" t="n"/>
      <c r="EEB7" s="118" t="n"/>
      <c r="EEI7" s="118" t="n"/>
      <c r="EEP7" s="118" t="n"/>
      <c r="EEW7" s="118" t="n"/>
      <c r="EFD7" s="118" t="n"/>
      <c r="EFK7" s="118" t="n"/>
      <c r="EFR7" s="118" t="n"/>
      <c r="EFY7" s="118" t="n"/>
      <c r="EGF7" s="118" t="n"/>
      <c r="EGM7" s="118" t="n"/>
      <c r="EGT7" s="118" t="n"/>
      <c r="EHA7" s="118" t="n"/>
      <c r="EHH7" s="118" t="n"/>
      <c r="EHO7" s="118" t="n"/>
      <c r="EHV7" s="118" t="n"/>
      <c r="EIC7" s="118" t="n"/>
      <c r="EIJ7" s="118" t="n"/>
      <c r="EIQ7" s="118" t="n"/>
      <c r="EIX7" s="118" t="n"/>
      <c r="EJE7" s="118" t="n"/>
      <c r="EJL7" s="118" t="n"/>
      <c r="EJS7" s="118" t="n"/>
      <c r="EJZ7" s="118" t="n"/>
      <c r="EKG7" s="118" t="n"/>
      <c r="EKN7" s="118" t="n"/>
      <c r="EKU7" s="118" t="n"/>
      <c r="ELB7" s="118" t="n"/>
      <c r="ELI7" s="118" t="n"/>
      <c r="ELP7" s="118" t="n"/>
      <c r="ELW7" s="118" t="n"/>
      <c r="EMD7" s="118" t="n"/>
      <c r="EMK7" s="118" t="n"/>
      <c r="EMR7" s="118" t="n"/>
      <c r="EMY7" s="118" t="n"/>
      <c r="ENF7" s="118" t="n"/>
      <c r="ENM7" s="118" t="n"/>
      <c r="ENT7" s="118" t="n"/>
      <c r="EOA7" s="118" t="n"/>
      <c r="EOH7" s="118" t="n"/>
      <c r="EOO7" s="118" t="n"/>
      <c r="EOV7" s="118" t="n"/>
      <c r="EPC7" s="118" t="n"/>
      <c r="EPJ7" s="118" t="n"/>
      <c r="EPQ7" s="118" t="n"/>
      <c r="EPX7" s="118" t="n"/>
      <c r="EQE7" s="118" t="n"/>
      <c r="EQL7" s="118" t="n"/>
      <c r="EQS7" s="118" t="n"/>
      <c r="EQZ7" s="118" t="n"/>
      <c r="ERG7" s="118" t="n"/>
      <c r="ERN7" s="118" t="n"/>
      <c r="ERU7" s="118" t="n"/>
      <c r="ESB7" s="118" t="n"/>
      <c r="ESI7" s="118" t="n"/>
      <c r="ESP7" s="118" t="n"/>
      <c r="ESW7" s="118" t="n"/>
      <c r="ETD7" s="118" t="n"/>
      <c r="ETK7" s="118" t="n"/>
      <c r="ETR7" s="118" t="n"/>
      <c r="ETY7" s="118" t="n"/>
      <c r="EUF7" s="118" t="n"/>
      <c r="EUM7" s="118" t="n"/>
      <c r="EUT7" s="118" t="n"/>
      <c r="EVA7" s="118" t="n"/>
      <c r="EVH7" s="118" t="n"/>
      <c r="EVO7" s="118" t="n"/>
      <c r="EVV7" s="118" t="n"/>
      <c r="EWC7" s="118" t="n"/>
      <c r="EWJ7" s="118" t="n"/>
      <c r="EWQ7" s="118" t="n"/>
      <c r="EWX7" s="118" t="n"/>
      <c r="EXE7" s="118" t="n"/>
      <c r="EXL7" s="118" t="n"/>
      <c r="EXS7" s="118" t="n"/>
      <c r="EXZ7" s="118" t="n"/>
      <c r="EYG7" s="118" t="n"/>
      <c r="EYN7" s="118" t="n"/>
      <c r="EYU7" s="118" t="n"/>
      <c r="EZB7" s="118" t="n"/>
      <c r="EZI7" s="118" t="n"/>
      <c r="EZP7" s="118" t="n"/>
      <c r="EZW7" s="118" t="n"/>
      <c r="FAD7" s="118" t="n"/>
      <c r="FAK7" s="118" t="n"/>
      <c r="FAR7" s="118" t="n"/>
      <c r="FAY7" s="118" t="n"/>
      <c r="FBF7" s="118" t="n"/>
      <c r="FBM7" s="118" t="n"/>
      <c r="FBT7" s="118" t="n"/>
      <c r="FCA7" s="118" t="n"/>
      <c r="FCH7" s="118" t="n"/>
      <c r="FCO7" s="118" t="n"/>
      <c r="FCV7" s="118" t="n"/>
      <c r="FDC7" s="118" t="n"/>
      <c r="FDJ7" s="118" t="n"/>
      <c r="FDQ7" s="118" t="n"/>
      <c r="FDX7" s="118" t="n"/>
      <c r="FEE7" s="118" t="n"/>
      <c r="FEL7" s="118" t="n"/>
      <c r="FES7" s="118" t="n"/>
      <c r="FEZ7" s="118" t="n"/>
      <c r="FFG7" s="118" t="n"/>
      <c r="FFN7" s="118" t="n"/>
      <c r="FFU7" s="118" t="n"/>
      <c r="FGB7" s="118" t="n"/>
      <c r="FGI7" s="118" t="n"/>
      <c r="FGP7" s="118" t="n"/>
      <c r="FGW7" s="118" t="n"/>
      <c r="FHD7" s="118" t="n"/>
      <c r="FHK7" s="118" t="n"/>
      <c r="FHR7" s="118" t="n"/>
      <c r="FHY7" s="118" t="n"/>
      <c r="FIF7" s="118" t="n"/>
      <c r="FIM7" s="118" t="n"/>
      <c r="FIT7" s="118" t="n"/>
      <c r="FJA7" s="118" t="n"/>
      <c r="FJH7" s="118" t="n"/>
      <c r="FJO7" s="118" t="n"/>
      <c r="FJV7" s="118" t="n"/>
      <c r="FKC7" s="118" t="n"/>
      <c r="FKJ7" s="118" t="n"/>
      <c r="FKQ7" s="118" t="n"/>
      <c r="FKX7" s="118" t="n"/>
      <c r="FLE7" s="118" t="n"/>
      <c r="FLL7" s="118" t="n"/>
      <c r="FLS7" s="118" t="n"/>
      <c r="FLZ7" s="118" t="n"/>
      <c r="FMG7" s="118" t="n"/>
      <c r="FMN7" s="118" t="n"/>
      <c r="FMU7" s="118" t="n"/>
      <c r="FNB7" s="118" t="n"/>
      <c r="FNI7" s="118" t="n"/>
      <c r="FNP7" s="118" t="n"/>
      <c r="FNW7" s="118" t="n"/>
      <c r="FOD7" s="118" t="n"/>
      <c r="FOK7" s="118" t="n"/>
      <c r="FOR7" s="118" t="n"/>
      <c r="FOY7" s="118" t="n"/>
      <c r="FPF7" s="118" t="n"/>
      <c r="FPM7" s="118" t="n"/>
      <c r="FPT7" s="118" t="n"/>
      <c r="FQA7" s="118" t="n"/>
      <c r="FQH7" s="118" t="n"/>
      <c r="FQO7" s="118" t="n"/>
      <c r="FQV7" s="118" t="n"/>
      <c r="FRC7" s="118" t="n"/>
      <c r="FRJ7" s="118" t="n"/>
      <c r="FRQ7" s="118" t="n"/>
      <c r="FRX7" s="118" t="n"/>
      <c r="FSE7" s="118" t="n"/>
      <c r="FSL7" s="118" t="n"/>
      <c r="FSS7" s="118" t="n"/>
      <c r="FSZ7" s="118" t="n"/>
      <c r="FTG7" s="118" t="n"/>
      <c r="FTN7" s="118" t="n"/>
      <c r="FTU7" s="118" t="n"/>
      <c r="FUB7" s="118" t="n"/>
      <c r="FUI7" s="118" t="n"/>
      <c r="FUP7" s="118" t="n"/>
      <c r="FUW7" s="118" t="n"/>
      <c r="FVD7" s="118" t="n"/>
      <c r="FVK7" s="118" t="n"/>
      <c r="FVR7" s="118" t="n"/>
      <c r="FVY7" s="118" t="n"/>
      <c r="FWF7" s="118" t="n"/>
      <c r="FWM7" s="118" t="n"/>
      <c r="FWT7" s="118" t="n"/>
      <c r="FXA7" s="118" t="n"/>
      <c r="FXH7" s="118" t="n"/>
      <c r="FXO7" s="118" t="n"/>
      <c r="FXV7" s="118" t="n"/>
      <c r="FYC7" s="118" t="n"/>
      <c r="FYJ7" s="118" t="n"/>
      <c r="FYQ7" s="118" t="n"/>
      <c r="FYX7" s="118" t="n"/>
      <c r="FZE7" s="118" t="n"/>
      <c r="FZL7" s="118" t="n"/>
      <c r="FZS7" s="118" t="n"/>
      <c r="FZZ7" s="118" t="n"/>
      <c r="GAG7" s="118" t="n"/>
      <c r="GAN7" s="118" t="n"/>
      <c r="GAU7" s="118" t="n"/>
      <c r="GBB7" s="118" t="n"/>
      <c r="GBI7" s="118" t="n"/>
      <c r="GBP7" s="118" t="n"/>
      <c r="GBW7" s="118" t="n"/>
      <c r="GCD7" s="118" t="n"/>
      <c r="GCK7" s="118" t="n"/>
      <c r="GCR7" s="118" t="n"/>
      <c r="GCY7" s="118" t="n"/>
      <c r="GDF7" s="118" t="n"/>
      <c r="GDM7" s="118" t="n"/>
      <c r="GDT7" s="118" t="n"/>
      <c r="GEA7" s="118" t="n"/>
      <c r="GEH7" s="118" t="n"/>
      <c r="GEO7" s="118" t="n"/>
      <c r="GEV7" s="118" t="n"/>
      <c r="GFC7" s="118" t="n"/>
      <c r="GFJ7" s="118" t="n"/>
      <c r="GFQ7" s="118" t="n"/>
      <c r="GFX7" s="118" t="n"/>
      <c r="GGE7" s="118" t="n"/>
      <c r="GGL7" s="118" t="n"/>
      <c r="GGS7" s="118" t="n"/>
      <c r="GGZ7" s="118" t="n"/>
      <c r="GHG7" s="118" t="n"/>
      <c r="GHN7" s="118" t="n"/>
      <c r="GHU7" s="118" t="n"/>
      <c r="GIB7" s="118" t="n"/>
      <c r="GII7" s="118" t="n"/>
      <c r="GIP7" s="118" t="n"/>
      <c r="GIW7" s="118" t="n"/>
      <c r="GJD7" s="118" t="n"/>
      <c r="GJK7" s="118" t="n"/>
      <c r="GJR7" s="118" t="n"/>
      <c r="GJY7" s="118" t="n"/>
      <c r="GKF7" s="118" t="n"/>
      <c r="GKM7" s="118" t="n"/>
      <c r="GKT7" s="118" t="n"/>
      <c r="GLA7" s="118" t="n"/>
      <c r="GLH7" s="118" t="n"/>
      <c r="GLO7" s="118" t="n"/>
      <c r="GLV7" s="118" t="n"/>
      <c r="GMC7" s="118" t="n"/>
      <c r="GMJ7" s="118" t="n"/>
      <c r="GMQ7" s="118" t="n"/>
      <c r="GMX7" s="118" t="n"/>
      <c r="GNE7" s="118" t="n"/>
      <c r="GNL7" s="118" t="n"/>
      <c r="GNS7" s="118" t="n"/>
      <c r="GNZ7" s="118" t="n"/>
      <c r="GOG7" s="118" t="n"/>
      <c r="GON7" s="118" t="n"/>
      <c r="GOU7" s="118" t="n"/>
      <c r="GPB7" s="118" t="n"/>
      <c r="GPI7" s="118" t="n"/>
      <c r="GPP7" s="118" t="n"/>
      <c r="GPW7" s="118" t="n"/>
      <c r="GQD7" s="118" t="n"/>
      <c r="GQK7" s="118" t="n"/>
      <c r="GQR7" s="118" t="n"/>
      <c r="GQY7" s="118" t="n"/>
      <c r="GRF7" s="118" t="n"/>
      <c r="GRM7" s="118" t="n"/>
      <c r="GRT7" s="118" t="n"/>
      <c r="GSA7" s="118" t="n"/>
      <c r="GSH7" s="118" t="n"/>
      <c r="GSO7" s="118" t="n"/>
      <c r="GSV7" s="118" t="n"/>
      <c r="GTC7" s="118" t="n"/>
      <c r="GTJ7" s="118" t="n"/>
      <c r="GTQ7" s="118" t="n"/>
      <c r="GTX7" s="118" t="n"/>
      <c r="GUE7" s="118" t="n"/>
      <c r="GUL7" s="118" t="n"/>
      <c r="GUS7" s="118" t="n"/>
      <c r="GUZ7" s="118" t="n"/>
      <c r="GVG7" s="118" t="n"/>
      <c r="GVN7" s="118" t="n"/>
      <c r="GVU7" s="118" t="n"/>
      <c r="GWB7" s="118" t="n"/>
      <c r="GWI7" s="118" t="n"/>
      <c r="GWP7" s="118" t="n"/>
      <c r="GWW7" s="118" t="n"/>
      <c r="GXD7" s="118" t="n"/>
      <c r="GXK7" s="118" t="n"/>
      <c r="GXR7" s="118" t="n"/>
      <c r="GXY7" s="118" t="n"/>
      <c r="GYF7" s="118" t="n"/>
      <c r="GYM7" s="118" t="n"/>
      <c r="GYT7" s="118" t="n"/>
      <c r="GZA7" s="118" t="n"/>
      <c r="GZH7" s="118" t="n"/>
      <c r="GZO7" s="118" t="n"/>
      <c r="GZV7" s="118" t="n"/>
      <c r="HAC7" s="118" t="n"/>
      <c r="HAJ7" s="118" t="n"/>
      <c r="HAQ7" s="118" t="n"/>
      <c r="HAX7" s="118" t="n"/>
      <c r="HBE7" s="118" t="n"/>
      <c r="HBL7" s="118" t="n"/>
      <c r="HBS7" s="118" t="n"/>
      <c r="HBZ7" s="118" t="n"/>
      <c r="HCG7" s="118" t="n"/>
      <c r="HCN7" s="118" t="n"/>
      <c r="HCU7" s="118" t="n"/>
      <c r="HDB7" s="118" t="n"/>
      <c r="HDI7" s="118" t="n"/>
      <c r="HDP7" s="118" t="n"/>
      <c r="HDW7" s="118" t="n"/>
      <c r="HED7" s="118" t="n"/>
      <c r="HEK7" s="118" t="n"/>
      <c r="HER7" s="118" t="n"/>
      <c r="HEY7" s="118" t="n"/>
      <c r="HFF7" s="118" t="n"/>
      <c r="HFM7" s="118" t="n"/>
      <c r="HFT7" s="118" t="n"/>
      <c r="HGA7" s="118" t="n"/>
      <c r="HGH7" s="118" t="n"/>
      <c r="HGO7" s="118" t="n"/>
      <c r="HGV7" s="118" t="n"/>
      <c r="HHC7" s="118" t="n"/>
      <c r="HHJ7" s="118" t="n"/>
      <c r="HHQ7" s="118" t="n"/>
      <c r="HHX7" s="118" t="n"/>
      <c r="HIE7" s="118" t="n"/>
      <c r="HIL7" s="118" t="n"/>
      <c r="HIS7" s="118" t="n"/>
      <c r="HIZ7" s="118" t="n"/>
      <c r="HJG7" s="118" t="n"/>
      <c r="HJN7" s="118" t="n"/>
      <c r="HJU7" s="118" t="n"/>
      <c r="HKB7" s="118" t="n"/>
      <c r="HKI7" s="118" t="n"/>
      <c r="HKP7" s="118" t="n"/>
      <c r="HKW7" s="118" t="n"/>
      <c r="HLD7" s="118" t="n"/>
      <c r="HLK7" s="118" t="n"/>
      <c r="HLR7" s="118" t="n"/>
      <c r="HLY7" s="118" t="n"/>
      <c r="HMF7" s="118" t="n"/>
      <c r="HMM7" s="118" t="n"/>
      <c r="HMT7" s="118" t="n"/>
      <c r="HNA7" s="118" t="n"/>
      <c r="HNH7" s="118" t="n"/>
      <c r="HNO7" s="118" t="n"/>
      <c r="HNV7" s="118" t="n"/>
      <c r="HOC7" s="118" t="n"/>
      <c r="HOJ7" s="118" t="n"/>
      <c r="HOQ7" s="118" t="n"/>
      <c r="HOX7" s="118" t="n"/>
      <c r="HPE7" s="118" t="n"/>
      <c r="HPL7" s="118" t="n"/>
      <c r="HPS7" s="118" t="n"/>
      <c r="HPZ7" s="118" t="n"/>
      <c r="HQG7" s="118" t="n"/>
      <c r="HQN7" s="118" t="n"/>
      <c r="HQU7" s="118" t="n"/>
      <c r="HRB7" s="118" t="n"/>
      <c r="HRI7" s="118" t="n"/>
      <c r="HRP7" s="118" t="n"/>
      <c r="HRW7" s="118" t="n"/>
      <c r="HSD7" s="118" t="n"/>
      <c r="HSK7" s="118" t="n"/>
      <c r="HSR7" s="118" t="n"/>
      <c r="HSY7" s="118" t="n"/>
      <c r="HTF7" s="118" t="n"/>
      <c r="HTM7" s="118" t="n"/>
      <c r="HTT7" s="118" t="n"/>
      <c r="HUA7" s="118" t="n"/>
      <c r="HUH7" s="118" t="n"/>
      <c r="HUO7" s="118" t="n"/>
      <c r="HUV7" s="118" t="n"/>
      <c r="HVC7" s="118" t="n"/>
      <c r="HVJ7" s="118" t="n"/>
      <c r="HVQ7" s="118" t="n"/>
      <c r="HVX7" s="118" t="n"/>
      <c r="HWE7" s="118" t="n"/>
      <c r="HWL7" s="118" t="n"/>
      <c r="HWS7" s="118" t="n"/>
      <c r="HWZ7" s="118" t="n"/>
      <c r="HXG7" s="118" t="n"/>
      <c r="HXN7" s="118" t="n"/>
      <c r="HXU7" s="118" t="n"/>
      <c r="HYB7" s="118" t="n"/>
      <c r="HYI7" s="118" t="n"/>
      <c r="HYP7" s="118" t="n"/>
      <c r="HYW7" s="118" t="n"/>
      <c r="HZD7" s="118" t="n"/>
      <c r="HZK7" s="118" t="n"/>
      <c r="HZR7" s="118" t="n"/>
      <c r="HZY7" s="118" t="n"/>
      <c r="IAF7" s="118" t="n"/>
      <c r="IAM7" s="118" t="n"/>
      <c r="IAT7" s="118" t="n"/>
      <c r="IBA7" s="118" t="n"/>
      <c r="IBH7" s="118" t="n"/>
      <c r="IBO7" s="118" t="n"/>
      <c r="IBV7" s="118" t="n"/>
      <c r="ICC7" s="118" t="n"/>
      <c r="ICJ7" s="118" t="n"/>
      <c r="ICQ7" s="118" t="n"/>
      <c r="ICX7" s="118" t="n"/>
      <c r="IDE7" s="118" t="n"/>
      <c r="IDL7" s="118" t="n"/>
      <c r="IDS7" s="118" t="n"/>
      <c r="IDZ7" s="118" t="n"/>
      <c r="IEG7" s="118" t="n"/>
      <c r="IEN7" s="118" t="n"/>
      <c r="IEU7" s="118" t="n"/>
      <c r="IFB7" s="118" t="n"/>
      <c r="IFI7" s="118" t="n"/>
      <c r="IFP7" s="118" t="n"/>
      <c r="IFW7" s="118" t="n"/>
      <c r="IGD7" s="118" t="n"/>
      <c r="IGK7" s="118" t="n"/>
      <c r="IGR7" s="118" t="n"/>
      <c r="IGY7" s="118" t="n"/>
      <c r="IHF7" s="118" t="n"/>
      <c r="IHM7" s="118" t="n"/>
      <c r="IHT7" s="118" t="n"/>
      <c r="IIA7" s="118" t="n"/>
      <c r="IIH7" s="118" t="n"/>
      <c r="IIO7" s="118" t="n"/>
      <c r="IIV7" s="118" t="n"/>
      <c r="IJC7" s="118" t="n"/>
      <c r="IJJ7" s="118" t="n"/>
      <c r="IJQ7" s="118" t="n"/>
      <c r="IJX7" s="118" t="n"/>
      <c r="IKE7" s="118" t="n"/>
      <c r="IKL7" s="118" t="n"/>
      <c r="IKS7" s="118" t="n"/>
      <c r="IKZ7" s="118" t="n"/>
      <c r="ILG7" s="118" t="n"/>
      <c r="ILN7" s="118" t="n"/>
      <c r="ILU7" s="118" t="n"/>
      <c r="IMB7" s="118" t="n"/>
      <c r="IMI7" s="118" t="n"/>
      <c r="IMP7" s="118" t="n"/>
      <c r="IMW7" s="118" t="n"/>
      <c r="IND7" s="118" t="n"/>
      <c r="INK7" s="118" t="n"/>
      <c r="INR7" s="118" t="n"/>
      <c r="INY7" s="118" t="n"/>
      <c r="IOF7" s="118" t="n"/>
      <c r="IOM7" s="118" t="n"/>
      <c r="IOT7" s="118" t="n"/>
      <c r="IPA7" s="118" t="n"/>
      <c r="IPH7" s="118" t="n"/>
      <c r="IPO7" s="118" t="n"/>
      <c r="IPV7" s="118" t="n"/>
      <c r="IQC7" s="118" t="n"/>
      <c r="IQJ7" s="118" t="n"/>
      <c r="IQQ7" s="118" t="n"/>
      <c r="IQX7" s="118" t="n"/>
      <c r="IRE7" s="118" t="n"/>
      <c r="IRL7" s="118" t="n"/>
      <c r="IRS7" s="118" t="n"/>
      <c r="IRZ7" s="118" t="n"/>
      <c r="ISG7" s="118" t="n"/>
      <c r="ISN7" s="118" t="n"/>
      <c r="ISU7" s="118" t="n"/>
      <c r="ITB7" s="118" t="n"/>
      <c r="ITI7" s="118" t="n"/>
      <c r="ITP7" s="118" t="n"/>
      <c r="ITW7" s="118" t="n"/>
      <c r="IUD7" s="118" t="n"/>
      <c r="IUK7" s="118" t="n"/>
      <c r="IUR7" s="118" t="n"/>
      <c r="IUY7" s="118" t="n"/>
      <c r="IVF7" s="118" t="n"/>
      <c r="IVM7" s="118" t="n"/>
      <c r="IVT7" s="118" t="n"/>
      <c r="IWA7" s="118" t="n"/>
      <c r="IWH7" s="118" t="n"/>
      <c r="IWO7" s="118" t="n"/>
      <c r="IWV7" s="118" t="n"/>
      <c r="IXC7" s="118" t="n"/>
      <c r="IXJ7" s="118" t="n"/>
      <c r="IXQ7" s="118" t="n"/>
      <c r="IXX7" s="118" t="n"/>
      <c r="IYE7" s="118" t="n"/>
      <c r="IYL7" s="118" t="n"/>
      <c r="IYS7" s="118" t="n"/>
      <c r="IYZ7" s="118" t="n"/>
      <c r="IZG7" s="118" t="n"/>
      <c r="IZN7" s="118" t="n"/>
      <c r="IZU7" s="118" t="n"/>
      <c r="JAB7" s="118" t="n"/>
      <c r="JAI7" s="118" t="n"/>
      <c r="JAP7" s="118" t="n"/>
      <c r="JAW7" s="118" t="n"/>
      <c r="JBD7" s="118" t="n"/>
      <c r="JBK7" s="118" t="n"/>
      <c r="JBR7" s="118" t="n"/>
      <c r="JBY7" s="118" t="n"/>
      <c r="JCF7" s="118" t="n"/>
      <c r="JCM7" s="118" t="n"/>
      <c r="JCT7" s="118" t="n"/>
      <c r="JDA7" s="118" t="n"/>
      <c r="JDH7" s="118" t="n"/>
      <c r="JDO7" s="118" t="n"/>
      <c r="JDV7" s="118" t="n"/>
      <c r="JEC7" s="118" t="n"/>
      <c r="JEJ7" s="118" t="n"/>
      <c r="JEQ7" s="118" t="n"/>
      <c r="JEX7" s="118" t="n"/>
      <c r="JFE7" s="118" t="n"/>
      <c r="JFL7" s="118" t="n"/>
      <c r="JFS7" s="118" t="n"/>
      <c r="JFZ7" s="118" t="n"/>
      <c r="JGG7" s="118" t="n"/>
      <c r="JGN7" s="118" t="n"/>
      <c r="JGU7" s="118" t="n"/>
      <c r="JHB7" s="118" t="n"/>
      <c r="JHI7" s="118" t="n"/>
      <c r="JHP7" s="118" t="n"/>
      <c r="JHW7" s="118" t="n"/>
      <c r="JID7" s="118" t="n"/>
      <c r="JIK7" s="118" t="n"/>
      <c r="JIR7" s="118" t="n"/>
      <c r="JIY7" s="118" t="n"/>
      <c r="JJF7" s="118" t="n"/>
      <c r="JJM7" s="118" t="n"/>
      <c r="JJT7" s="118" t="n"/>
      <c r="JKA7" s="118" t="n"/>
      <c r="JKH7" s="118" t="n"/>
      <c r="JKO7" s="118" t="n"/>
      <c r="JKV7" s="118" t="n"/>
      <c r="JLC7" s="118" t="n"/>
      <c r="JLJ7" s="118" t="n"/>
      <c r="JLQ7" s="118" t="n"/>
      <c r="JLX7" s="118" t="n"/>
      <c r="JME7" s="118" t="n"/>
      <c r="JML7" s="118" t="n"/>
      <c r="JMS7" s="118" t="n"/>
      <c r="JMZ7" s="118" t="n"/>
      <c r="JNG7" s="118" t="n"/>
      <c r="JNN7" s="118" t="n"/>
      <c r="JNU7" s="118" t="n"/>
      <c r="JOB7" s="118" t="n"/>
      <c r="JOI7" s="118" t="n"/>
      <c r="JOP7" s="118" t="n"/>
      <c r="JOW7" s="118" t="n"/>
      <c r="JPD7" s="118" t="n"/>
      <c r="JPK7" s="118" t="n"/>
      <c r="JPR7" s="118" t="n"/>
      <c r="JPY7" s="118" t="n"/>
      <c r="JQF7" s="118" t="n"/>
      <c r="JQM7" s="118" t="n"/>
      <c r="JQT7" s="118" t="n"/>
      <c r="JRA7" s="118" t="n"/>
      <c r="JRH7" s="118" t="n"/>
      <c r="JRO7" s="118" t="n"/>
      <c r="JRV7" s="118" t="n"/>
      <c r="JSC7" s="118" t="n"/>
      <c r="JSJ7" s="118" t="n"/>
      <c r="JSQ7" s="118" t="n"/>
      <c r="JSX7" s="118" t="n"/>
      <c r="JTE7" s="118" t="n"/>
      <c r="JTL7" s="118" t="n"/>
      <c r="JTS7" s="118" t="n"/>
      <c r="JTZ7" s="118" t="n"/>
      <c r="JUG7" s="118" t="n"/>
      <c r="JUN7" s="118" t="n"/>
      <c r="JUU7" s="118" t="n"/>
      <c r="JVB7" s="118" t="n"/>
      <c r="JVI7" s="118" t="n"/>
      <c r="JVP7" s="118" t="n"/>
      <c r="JVW7" s="118" t="n"/>
      <c r="JWD7" s="118" t="n"/>
      <c r="JWK7" s="118" t="n"/>
      <c r="JWR7" s="118" t="n"/>
      <c r="JWY7" s="118" t="n"/>
      <c r="JXF7" s="118" t="n"/>
      <c r="JXM7" s="118" t="n"/>
      <c r="JXT7" s="118" t="n"/>
      <c r="JYA7" s="118" t="n"/>
      <c r="JYH7" s="118" t="n"/>
      <c r="JYO7" s="118" t="n"/>
      <c r="JYV7" s="118" t="n"/>
      <c r="JZC7" s="118" t="n"/>
      <c r="JZJ7" s="118" t="n"/>
      <c r="JZQ7" s="118" t="n"/>
      <c r="JZX7" s="118" t="n"/>
      <c r="KAE7" s="118" t="n"/>
      <c r="KAL7" s="118" t="n"/>
      <c r="KAS7" s="118" t="n"/>
      <c r="KAZ7" s="118" t="n"/>
      <c r="KBG7" s="118" t="n"/>
      <c r="KBN7" s="118" t="n"/>
      <c r="KBU7" s="118" t="n"/>
      <c r="KCB7" s="118" t="n"/>
      <c r="KCI7" s="118" t="n"/>
      <c r="KCP7" s="118" t="n"/>
      <c r="KCW7" s="118" t="n"/>
      <c r="KDD7" s="118" t="n"/>
      <c r="KDK7" s="118" t="n"/>
      <c r="KDR7" s="118" t="n"/>
      <c r="KDY7" s="118" t="n"/>
      <c r="KEF7" s="118" t="n"/>
      <c r="KEM7" s="118" t="n"/>
      <c r="KET7" s="118" t="n"/>
      <c r="KFA7" s="118" t="n"/>
      <c r="KFH7" s="118" t="n"/>
      <c r="KFO7" s="118" t="n"/>
      <c r="KFV7" s="118" t="n"/>
      <c r="KGC7" s="118" t="n"/>
      <c r="KGJ7" s="118" t="n"/>
      <c r="KGQ7" s="118" t="n"/>
      <c r="KGX7" s="118" t="n"/>
      <c r="KHE7" s="118" t="n"/>
      <c r="KHL7" s="118" t="n"/>
      <c r="KHS7" s="118" t="n"/>
      <c r="KHZ7" s="118" t="n"/>
      <c r="KIG7" s="118" t="n"/>
      <c r="KIN7" s="118" t="n"/>
      <c r="KIU7" s="118" t="n"/>
      <c r="KJB7" s="118" t="n"/>
      <c r="KJI7" s="118" t="n"/>
      <c r="KJP7" s="118" t="n"/>
      <c r="KJW7" s="118" t="n"/>
      <c r="KKD7" s="118" t="n"/>
      <c r="KKK7" s="118" t="n"/>
      <c r="KKR7" s="118" t="n"/>
      <c r="KKY7" s="118" t="n"/>
      <c r="KLF7" s="118" t="n"/>
      <c r="KLM7" s="118" t="n"/>
      <c r="KLT7" s="118" t="n"/>
      <c r="KMA7" s="118" t="n"/>
      <c r="KMH7" s="118" t="n"/>
      <c r="KMO7" s="118" t="n"/>
      <c r="KMV7" s="118" t="n"/>
      <c r="KNC7" s="118" t="n"/>
      <c r="KNJ7" s="118" t="n"/>
      <c r="KNQ7" s="118" t="n"/>
      <c r="KNX7" s="118" t="n"/>
      <c r="KOE7" s="118" t="n"/>
      <c r="KOL7" s="118" t="n"/>
      <c r="KOS7" s="118" t="n"/>
      <c r="KOZ7" s="118" t="n"/>
      <c r="KPG7" s="118" t="n"/>
      <c r="KPN7" s="118" t="n"/>
      <c r="KPU7" s="118" t="n"/>
      <c r="KQB7" s="118" t="n"/>
      <c r="KQI7" s="118" t="n"/>
      <c r="KQP7" s="118" t="n"/>
      <c r="KQW7" s="118" t="n"/>
      <c r="KRD7" s="118" t="n"/>
      <c r="KRK7" s="118" t="n"/>
      <c r="KRR7" s="118" t="n"/>
      <c r="KRY7" s="118" t="n"/>
      <c r="KSF7" s="118" t="n"/>
      <c r="KSM7" s="118" t="n"/>
      <c r="KST7" s="118" t="n"/>
      <c r="KTA7" s="118" t="n"/>
      <c r="KTH7" s="118" t="n"/>
      <c r="KTO7" s="118" t="n"/>
      <c r="KTV7" s="118" t="n"/>
      <c r="KUC7" s="118" t="n"/>
      <c r="KUJ7" s="118" t="n"/>
      <c r="KUQ7" s="118" t="n"/>
      <c r="KUX7" s="118" t="n"/>
      <c r="KVE7" s="118" t="n"/>
      <c r="KVL7" s="118" t="n"/>
      <c r="KVS7" s="118" t="n"/>
      <c r="KVZ7" s="118" t="n"/>
      <c r="KWG7" s="118" t="n"/>
      <c r="KWN7" s="118" t="n"/>
      <c r="KWU7" s="118" t="n"/>
      <c r="KXB7" s="118" t="n"/>
      <c r="KXI7" s="118" t="n"/>
      <c r="KXP7" s="118" t="n"/>
      <c r="KXW7" s="118" t="n"/>
      <c r="KYD7" s="118" t="n"/>
      <c r="KYK7" s="118" t="n"/>
      <c r="KYR7" s="118" t="n"/>
      <c r="KYY7" s="118" t="n"/>
      <c r="KZF7" s="118" t="n"/>
      <c r="KZM7" s="118" t="n"/>
      <c r="KZT7" s="118" t="n"/>
      <c r="LAA7" s="118" t="n"/>
      <c r="LAH7" s="118" t="n"/>
      <c r="LAO7" s="118" t="n"/>
      <c r="LAV7" s="118" t="n"/>
      <c r="LBC7" s="118" t="n"/>
      <c r="LBJ7" s="118" t="n"/>
      <c r="LBQ7" s="118" t="n"/>
      <c r="LBX7" s="118" t="n"/>
      <c r="LCE7" s="118" t="n"/>
      <c r="LCL7" s="118" t="n"/>
      <c r="LCS7" s="118" t="n"/>
      <c r="LCZ7" s="118" t="n"/>
      <c r="LDG7" s="118" t="n"/>
      <c r="LDN7" s="118" t="n"/>
      <c r="LDU7" s="118" t="n"/>
      <c r="LEB7" s="118" t="n"/>
      <c r="LEI7" s="118" t="n"/>
      <c r="LEP7" s="118" t="n"/>
      <c r="LEW7" s="118" t="n"/>
      <c r="LFD7" s="118" t="n"/>
      <c r="LFK7" s="118" t="n"/>
      <c r="LFR7" s="118" t="n"/>
      <c r="LFY7" s="118" t="n"/>
      <c r="LGF7" s="118" t="n"/>
      <c r="LGM7" s="118" t="n"/>
      <c r="LGT7" s="118" t="n"/>
      <c r="LHA7" s="118" t="n"/>
      <c r="LHH7" s="118" t="n"/>
      <c r="LHO7" s="118" t="n"/>
      <c r="LHV7" s="118" t="n"/>
      <c r="LIC7" s="118" t="n"/>
      <c r="LIJ7" s="118" t="n"/>
      <c r="LIQ7" s="118" t="n"/>
      <c r="LIX7" s="118" t="n"/>
      <c r="LJE7" s="118" t="n"/>
      <c r="LJL7" s="118" t="n"/>
      <c r="LJS7" s="118" t="n"/>
      <c r="LJZ7" s="118" t="n"/>
      <c r="LKG7" s="118" t="n"/>
      <c r="LKN7" s="118" t="n"/>
      <c r="LKU7" s="118" t="n"/>
      <c r="LLB7" s="118" t="n"/>
      <c r="LLI7" s="118" t="n"/>
      <c r="LLP7" s="118" t="n"/>
      <c r="LLW7" s="118" t="n"/>
      <c r="LMD7" s="118" t="n"/>
      <c r="LMK7" s="118" t="n"/>
      <c r="LMR7" s="118" t="n"/>
      <c r="LMY7" s="118" t="n"/>
      <c r="LNF7" s="118" t="n"/>
      <c r="LNM7" s="118" t="n"/>
      <c r="LNT7" s="118" t="n"/>
      <c r="LOA7" s="118" t="n"/>
      <c r="LOH7" s="118" t="n"/>
      <c r="LOO7" s="118" t="n"/>
      <c r="LOV7" s="118" t="n"/>
      <c r="LPC7" s="118" t="n"/>
      <c r="LPJ7" s="118" t="n"/>
      <c r="LPQ7" s="118" t="n"/>
      <c r="LPX7" s="118" t="n"/>
      <c r="LQE7" s="118" t="n"/>
      <c r="LQL7" s="118" t="n"/>
      <c r="LQS7" s="118" t="n"/>
      <c r="LQZ7" s="118" t="n"/>
      <c r="LRG7" s="118" t="n"/>
      <c r="LRN7" s="118" t="n"/>
      <c r="LRU7" s="118" t="n"/>
      <c r="LSB7" s="118" t="n"/>
      <c r="LSI7" s="118" t="n"/>
      <c r="LSP7" s="118" t="n"/>
      <c r="LSW7" s="118" t="n"/>
      <c r="LTD7" s="118" t="n"/>
      <c r="LTK7" s="118" t="n"/>
      <c r="LTR7" s="118" t="n"/>
      <c r="LTY7" s="118" t="n"/>
      <c r="LUF7" s="118" t="n"/>
      <c r="LUM7" s="118" t="n"/>
      <c r="LUT7" s="118" t="n"/>
      <c r="LVA7" s="118" t="n"/>
      <c r="LVH7" s="118" t="n"/>
      <c r="LVO7" s="118" t="n"/>
      <c r="LVV7" s="118" t="n"/>
      <c r="LWC7" s="118" t="n"/>
      <c r="LWJ7" s="118" t="n"/>
      <c r="LWQ7" s="118" t="n"/>
      <c r="LWX7" s="118" t="n"/>
      <c r="LXE7" s="118" t="n"/>
      <c r="LXL7" s="118" t="n"/>
      <c r="LXS7" s="118" t="n"/>
      <c r="LXZ7" s="118" t="n"/>
      <c r="LYG7" s="118" t="n"/>
      <c r="LYN7" s="118" t="n"/>
      <c r="LYU7" s="118" t="n"/>
      <c r="LZB7" s="118" t="n"/>
      <c r="LZI7" s="118" t="n"/>
      <c r="LZP7" s="118" t="n"/>
      <c r="LZW7" s="118" t="n"/>
      <c r="MAD7" s="118" t="n"/>
      <c r="MAK7" s="118" t="n"/>
      <c r="MAR7" s="118" t="n"/>
      <c r="MAY7" s="118" t="n"/>
      <c r="MBF7" s="118" t="n"/>
      <c r="MBM7" s="118" t="n"/>
      <c r="MBT7" s="118" t="n"/>
      <c r="MCA7" s="118" t="n"/>
      <c r="MCH7" s="118" t="n"/>
      <c r="MCO7" s="118" t="n"/>
      <c r="MCV7" s="118" t="n"/>
      <c r="MDC7" s="118" t="n"/>
      <c r="MDJ7" s="118" t="n"/>
      <c r="MDQ7" s="118" t="n"/>
      <c r="MDX7" s="118" t="n"/>
      <c r="MEE7" s="118" t="n"/>
      <c r="MEL7" s="118" t="n"/>
      <c r="MES7" s="118" t="n"/>
      <c r="MEZ7" s="118" t="n"/>
      <c r="MFG7" s="118" t="n"/>
      <c r="MFN7" s="118" t="n"/>
      <c r="MFU7" s="118" t="n"/>
      <c r="MGB7" s="118" t="n"/>
      <c r="MGI7" s="118" t="n"/>
      <c r="MGP7" s="118" t="n"/>
      <c r="MGW7" s="118" t="n"/>
      <c r="MHD7" s="118" t="n"/>
      <c r="MHK7" s="118" t="n"/>
      <c r="MHR7" s="118" t="n"/>
      <c r="MHY7" s="118" t="n"/>
      <c r="MIF7" s="118" t="n"/>
      <c r="MIM7" s="118" t="n"/>
      <c r="MIT7" s="118" t="n"/>
      <c r="MJA7" s="118" t="n"/>
      <c r="MJH7" s="118" t="n"/>
      <c r="MJO7" s="118" t="n"/>
      <c r="MJV7" s="118" t="n"/>
      <c r="MKC7" s="118" t="n"/>
      <c r="MKJ7" s="118" t="n"/>
      <c r="MKQ7" s="118" t="n"/>
      <c r="MKX7" s="118" t="n"/>
      <c r="MLE7" s="118" t="n"/>
      <c r="MLL7" s="118" t="n"/>
      <c r="MLS7" s="118" t="n"/>
      <c r="MLZ7" s="118" t="n"/>
      <c r="MMG7" s="118" t="n"/>
      <c r="MMN7" s="118" t="n"/>
      <c r="MMU7" s="118" t="n"/>
      <c r="MNB7" s="118" t="n"/>
      <c r="MNI7" s="118" t="n"/>
      <c r="MNP7" s="118" t="n"/>
      <c r="MNW7" s="118" t="n"/>
      <c r="MOD7" s="118" t="n"/>
      <c r="MOK7" s="118" t="n"/>
      <c r="MOR7" s="118" t="n"/>
      <c r="MOY7" s="118" t="n"/>
      <c r="MPF7" s="118" t="n"/>
      <c r="MPM7" s="118" t="n"/>
      <c r="MPT7" s="118" t="n"/>
      <c r="MQA7" s="118" t="n"/>
      <c r="MQH7" s="118" t="n"/>
      <c r="MQO7" s="118" t="n"/>
      <c r="MQV7" s="118" t="n"/>
      <c r="MRC7" s="118" t="n"/>
      <c r="MRJ7" s="118" t="n"/>
      <c r="MRQ7" s="118" t="n"/>
      <c r="MRX7" s="118" t="n"/>
      <c r="MSE7" s="118" t="n"/>
      <c r="MSL7" s="118" t="n"/>
      <c r="MSS7" s="118" t="n"/>
      <c r="MSZ7" s="118" t="n"/>
      <c r="MTG7" s="118" t="n"/>
      <c r="MTN7" s="118" t="n"/>
      <c r="MTU7" s="118" t="n"/>
      <c r="MUB7" s="118" t="n"/>
      <c r="MUI7" s="118" t="n"/>
      <c r="MUP7" s="118" t="n"/>
      <c r="MUW7" s="118" t="n"/>
      <c r="MVD7" s="118" t="n"/>
      <c r="MVK7" s="118" t="n"/>
      <c r="MVR7" s="118" t="n"/>
      <c r="MVY7" s="118" t="n"/>
      <c r="MWF7" s="118" t="n"/>
      <c r="MWM7" s="118" t="n"/>
      <c r="MWT7" s="118" t="n"/>
      <c r="MXA7" s="118" t="n"/>
      <c r="MXH7" s="118" t="n"/>
      <c r="MXO7" s="118" t="n"/>
      <c r="MXV7" s="118" t="n"/>
      <c r="MYC7" s="118" t="n"/>
      <c r="MYJ7" s="118" t="n"/>
      <c r="MYQ7" s="118" t="n"/>
      <c r="MYX7" s="118" t="n"/>
      <c r="MZE7" s="118" t="n"/>
      <c r="MZL7" s="118" t="n"/>
      <c r="MZS7" s="118" t="n"/>
      <c r="MZZ7" s="118" t="n"/>
      <c r="NAG7" s="118" t="n"/>
      <c r="NAN7" s="118" t="n"/>
      <c r="NAU7" s="118" t="n"/>
      <c r="NBB7" s="118" t="n"/>
      <c r="NBI7" s="118" t="n"/>
      <c r="NBP7" s="118" t="n"/>
      <c r="NBW7" s="118" t="n"/>
      <c r="NCD7" s="118" t="n"/>
      <c r="NCK7" s="118" t="n"/>
      <c r="NCR7" s="118" t="n"/>
      <c r="NCY7" s="118" t="n"/>
      <c r="NDF7" s="118" t="n"/>
      <c r="NDM7" s="118" t="n"/>
      <c r="NDT7" s="118" t="n"/>
      <c r="NEA7" s="118" t="n"/>
      <c r="NEH7" s="118" t="n"/>
      <c r="NEO7" s="118" t="n"/>
      <c r="NEV7" s="118" t="n"/>
      <c r="NFC7" s="118" t="n"/>
      <c r="NFJ7" s="118" t="n"/>
      <c r="NFQ7" s="118" t="n"/>
      <c r="NFX7" s="118" t="n"/>
      <c r="NGE7" s="118" t="n"/>
      <c r="NGL7" s="118" t="n"/>
      <c r="NGS7" s="118" t="n"/>
      <c r="NGZ7" s="118" t="n"/>
      <c r="NHG7" s="118" t="n"/>
      <c r="NHN7" s="118" t="n"/>
      <c r="NHU7" s="118" t="n"/>
      <c r="NIB7" s="118" t="n"/>
      <c r="NII7" s="118" t="n"/>
      <c r="NIP7" s="118" t="n"/>
      <c r="NIW7" s="118" t="n"/>
      <c r="NJD7" s="118" t="n"/>
      <c r="NJK7" s="118" t="n"/>
      <c r="NJR7" s="118" t="n"/>
      <c r="NJY7" s="118" t="n"/>
      <c r="NKF7" s="118" t="n"/>
      <c r="NKM7" s="118" t="n"/>
      <c r="NKT7" s="118" t="n"/>
      <c r="NLA7" s="118" t="n"/>
      <c r="NLH7" s="118" t="n"/>
      <c r="NLO7" s="118" t="n"/>
      <c r="NLV7" s="118" t="n"/>
      <c r="NMC7" s="118" t="n"/>
      <c r="NMJ7" s="118" t="n"/>
      <c r="NMQ7" s="118" t="n"/>
      <c r="NMX7" s="118" t="n"/>
      <c r="NNE7" s="118" t="n"/>
      <c r="NNL7" s="118" t="n"/>
      <c r="NNS7" s="118" t="n"/>
      <c r="NNZ7" s="118" t="n"/>
      <c r="NOG7" s="118" t="n"/>
      <c r="NON7" s="118" t="n"/>
      <c r="NOU7" s="118" t="n"/>
      <c r="NPB7" s="118" t="n"/>
      <c r="NPI7" s="118" t="n"/>
      <c r="NPP7" s="118" t="n"/>
      <c r="NPW7" s="118" t="n"/>
      <c r="NQD7" s="118" t="n"/>
      <c r="NQK7" s="118" t="n"/>
      <c r="NQR7" s="118" t="n"/>
      <c r="NQY7" s="118" t="n"/>
      <c r="NRF7" s="118" t="n"/>
      <c r="NRM7" s="118" t="n"/>
      <c r="NRT7" s="118" t="n"/>
      <c r="NSA7" s="118" t="n"/>
      <c r="NSH7" s="118" t="n"/>
      <c r="NSO7" s="118" t="n"/>
      <c r="NSV7" s="118" t="n"/>
      <c r="NTC7" s="118" t="n"/>
      <c r="NTJ7" s="118" t="n"/>
      <c r="NTQ7" s="118" t="n"/>
      <c r="NTX7" s="118" t="n"/>
      <c r="NUE7" s="118" t="n"/>
      <c r="NUL7" s="118" t="n"/>
      <c r="NUS7" s="118" t="n"/>
      <c r="NUZ7" s="118" t="n"/>
      <c r="NVG7" s="118" t="n"/>
      <c r="NVN7" s="118" t="n"/>
      <c r="NVU7" s="118" t="n"/>
      <c r="NWB7" s="118" t="n"/>
      <c r="NWI7" s="118" t="n"/>
      <c r="NWP7" s="118" t="n"/>
      <c r="NWW7" s="118" t="n"/>
      <c r="NXD7" s="118" t="n"/>
      <c r="NXK7" s="118" t="n"/>
      <c r="NXR7" s="118" t="n"/>
      <c r="NXY7" s="118" t="n"/>
      <c r="NYF7" s="118" t="n"/>
      <c r="NYM7" s="118" t="n"/>
      <c r="NYT7" s="118" t="n"/>
      <c r="NZA7" s="118" t="n"/>
      <c r="NZH7" s="118" t="n"/>
      <c r="NZO7" s="118" t="n"/>
      <c r="NZV7" s="118" t="n"/>
      <c r="OAC7" s="118" t="n"/>
      <c r="OAJ7" s="118" t="n"/>
      <c r="OAQ7" s="118" t="n"/>
      <c r="OAX7" s="118" t="n"/>
      <c r="OBE7" s="118" t="n"/>
      <c r="OBL7" s="118" t="n"/>
      <c r="OBS7" s="118" t="n"/>
      <c r="OBZ7" s="118" t="n"/>
      <c r="OCG7" s="118" t="n"/>
      <c r="OCN7" s="118" t="n"/>
      <c r="OCU7" s="118" t="n"/>
      <c r="ODB7" s="118" t="n"/>
      <c r="ODI7" s="118" t="n"/>
      <c r="ODP7" s="118" t="n"/>
      <c r="ODW7" s="118" t="n"/>
      <c r="OED7" s="118" t="n"/>
      <c r="OEK7" s="118" t="n"/>
      <c r="OER7" s="118" t="n"/>
      <c r="OEY7" s="118" t="n"/>
      <c r="OFF7" s="118" t="n"/>
      <c r="OFM7" s="118" t="n"/>
      <c r="OFT7" s="118" t="n"/>
      <c r="OGA7" s="118" t="n"/>
      <c r="OGH7" s="118" t="n"/>
      <c r="OGO7" s="118" t="n"/>
      <c r="OGV7" s="118" t="n"/>
      <c r="OHC7" s="118" t="n"/>
      <c r="OHJ7" s="118" t="n"/>
      <c r="OHQ7" s="118" t="n"/>
      <c r="OHX7" s="118" t="n"/>
      <c r="OIE7" s="118" t="n"/>
      <c r="OIL7" s="118" t="n"/>
      <c r="OIS7" s="118" t="n"/>
      <c r="OIZ7" s="118" t="n"/>
      <c r="OJG7" s="118" t="n"/>
      <c r="OJN7" s="118" t="n"/>
      <c r="OJU7" s="118" t="n"/>
      <c r="OKB7" s="118" t="n"/>
      <c r="OKI7" s="118" t="n"/>
      <c r="OKP7" s="118" t="n"/>
      <c r="OKW7" s="118" t="n"/>
      <c r="OLD7" s="118" t="n"/>
      <c r="OLK7" s="118" t="n"/>
      <c r="OLR7" s="118" t="n"/>
      <c r="OLY7" s="118" t="n"/>
      <c r="OMF7" s="118" t="n"/>
      <c r="OMM7" s="118" t="n"/>
      <c r="OMT7" s="118" t="n"/>
      <c r="ONA7" s="118" t="n"/>
      <c r="ONH7" s="118" t="n"/>
      <c r="ONO7" s="118" t="n"/>
      <c r="ONV7" s="118" t="n"/>
      <c r="OOC7" s="118" t="n"/>
      <c r="OOJ7" s="118" t="n"/>
      <c r="OOQ7" s="118" t="n"/>
      <c r="OOX7" s="118" t="n"/>
      <c r="OPE7" s="118" t="n"/>
      <c r="OPL7" s="118" t="n"/>
      <c r="OPS7" s="118" t="n"/>
      <c r="OPZ7" s="118" t="n"/>
      <c r="OQG7" s="118" t="n"/>
      <c r="OQN7" s="118" t="n"/>
      <c r="OQU7" s="118" t="n"/>
      <c r="ORB7" s="118" t="n"/>
      <c r="ORI7" s="118" t="n"/>
      <c r="ORP7" s="118" t="n"/>
      <c r="ORW7" s="118" t="n"/>
      <c r="OSD7" s="118" t="n"/>
      <c r="OSK7" s="118" t="n"/>
      <c r="OSR7" s="118" t="n"/>
      <c r="OSY7" s="118" t="n"/>
      <c r="OTF7" s="118" t="n"/>
      <c r="OTM7" s="118" t="n"/>
      <c r="OTT7" s="118" t="n"/>
      <c r="OUA7" s="118" t="n"/>
      <c r="OUH7" s="118" t="n"/>
      <c r="OUO7" s="118" t="n"/>
      <c r="OUV7" s="118" t="n"/>
      <c r="OVC7" s="118" t="n"/>
      <c r="OVJ7" s="118" t="n"/>
      <c r="OVQ7" s="118" t="n"/>
      <c r="OVX7" s="118" t="n"/>
      <c r="OWE7" s="118" t="n"/>
      <c r="OWL7" s="118" t="n"/>
      <c r="OWS7" s="118" t="n"/>
      <c r="OWZ7" s="118" t="n"/>
      <c r="OXG7" s="118" t="n"/>
      <c r="OXN7" s="118" t="n"/>
      <c r="OXU7" s="118" t="n"/>
      <c r="OYB7" s="118" t="n"/>
      <c r="OYI7" s="118" t="n"/>
      <c r="OYP7" s="118" t="n"/>
      <c r="OYW7" s="118" t="n"/>
      <c r="OZD7" s="118" t="n"/>
      <c r="OZK7" s="118" t="n"/>
      <c r="OZR7" s="118" t="n"/>
      <c r="OZY7" s="118" t="n"/>
      <c r="PAF7" s="118" t="n"/>
      <c r="PAM7" s="118" t="n"/>
      <c r="PAT7" s="118" t="n"/>
      <c r="PBA7" s="118" t="n"/>
      <c r="PBH7" s="118" t="n"/>
      <c r="PBO7" s="118" t="n"/>
      <c r="PBV7" s="118" t="n"/>
      <c r="PCC7" s="118" t="n"/>
      <c r="PCJ7" s="118" t="n"/>
      <c r="PCQ7" s="118" t="n"/>
      <c r="PCX7" s="118" t="n"/>
      <c r="PDE7" s="118" t="n"/>
      <c r="PDL7" s="118" t="n"/>
      <c r="PDS7" s="118" t="n"/>
      <c r="PDZ7" s="118" t="n"/>
      <c r="PEG7" s="118" t="n"/>
      <c r="PEN7" s="118" t="n"/>
      <c r="PEU7" s="118" t="n"/>
      <c r="PFB7" s="118" t="n"/>
      <c r="PFI7" s="118" t="n"/>
      <c r="PFP7" s="118" t="n"/>
      <c r="PFW7" s="118" t="n"/>
      <c r="PGD7" s="118" t="n"/>
      <c r="PGK7" s="118" t="n"/>
      <c r="PGR7" s="118" t="n"/>
      <c r="PGY7" s="118" t="n"/>
      <c r="PHF7" s="118" t="n"/>
      <c r="PHM7" s="118" t="n"/>
      <c r="PHT7" s="118" t="n"/>
      <c r="PIA7" s="118" t="n"/>
      <c r="PIH7" s="118" t="n"/>
      <c r="PIO7" s="118" t="n"/>
      <c r="PIV7" s="118" t="n"/>
      <c r="PJC7" s="118" t="n"/>
      <c r="PJJ7" s="118" t="n"/>
      <c r="PJQ7" s="118" t="n"/>
      <c r="PJX7" s="118" t="n"/>
      <c r="PKE7" s="118" t="n"/>
      <c r="PKL7" s="118" t="n"/>
      <c r="PKS7" s="118" t="n"/>
      <c r="PKZ7" s="118" t="n"/>
      <c r="PLG7" s="118" t="n"/>
      <c r="PLN7" s="118" t="n"/>
      <c r="PLU7" s="118" t="n"/>
      <c r="PMB7" s="118" t="n"/>
      <c r="PMI7" s="118" t="n"/>
      <c r="PMP7" s="118" t="n"/>
      <c r="PMW7" s="118" t="n"/>
      <c r="PND7" s="118" t="n"/>
      <c r="PNK7" s="118" t="n"/>
      <c r="PNR7" s="118" t="n"/>
      <c r="PNY7" s="118" t="n"/>
      <c r="POF7" s="118" t="n"/>
      <c r="POM7" s="118" t="n"/>
      <c r="POT7" s="118" t="n"/>
      <c r="PPA7" s="118" t="n"/>
      <c r="PPH7" s="118" t="n"/>
      <c r="PPO7" s="118" t="n"/>
      <c r="PPV7" s="118" t="n"/>
      <c r="PQC7" s="118" t="n"/>
      <c r="PQJ7" s="118" t="n"/>
      <c r="PQQ7" s="118" t="n"/>
      <c r="PQX7" s="118" t="n"/>
      <c r="PRE7" s="118" t="n"/>
      <c r="PRL7" s="118" t="n"/>
      <c r="PRS7" s="118" t="n"/>
      <c r="PRZ7" s="118" t="n"/>
      <c r="PSG7" s="118" t="n"/>
      <c r="PSN7" s="118" t="n"/>
      <c r="PSU7" s="118" t="n"/>
      <c r="PTB7" s="118" t="n"/>
      <c r="PTI7" s="118" t="n"/>
      <c r="PTP7" s="118" t="n"/>
      <c r="PTW7" s="118" t="n"/>
      <c r="PUD7" s="118" t="n"/>
      <c r="PUK7" s="118" t="n"/>
      <c r="PUR7" s="118" t="n"/>
      <c r="PUY7" s="118" t="n"/>
      <c r="PVF7" s="118" t="n"/>
      <c r="PVM7" s="118" t="n"/>
      <c r="PVT7" s="118" t="n"/>
      <c r="PWA7" s="118" t="n"/>
      <c r="PWH7" s="118" t="n"/>
      <c r="PWO7" s="118" t="n"/>
      <c r="PWV7" s="118" t="n"/>
      <c r="PXC7" s="118" t="n"/>
      <c r="PXJ7" s="118" t="n"/>
      <c r="PXQ7" s="118" t="n"/>
      <c r="PXX7" s="118" t="n"/>
      <c r="PYE7" s="118" t="n"/>
      <c r="PYL7" s="118" t="n"/>
      <c r="PYS7" s="118" t="n"/>
      <c r="PYZ7" s="118" t="n"/>
      <c r="PZG7" s="118" t="n"/>
      <c r="PZN7" s="118" t="n"/>
      <c r="PZU7" s="118" t="n"/>
      <c r="QAB7" s="118" t="n"/>
      <c r="QAI7" s="118" t="n"/>
      <c r="QAP7" s="118" t="n"/>
      <c r="QAW7" s="118" t="n"/>
      <c r="QBD7" s="118" t="n"/>
      <c r="QBK7" s="118" t="n"/>
      <c r="QBR7" s="118" t="n"/>
      <c r="QBY7" s="118" t="n"/>
      <c r="QCF7" s="118" t="n"/>
      <c r="QCM7" s="118" t="n"/>
      <c r="QCT7" s="118" t="n"/>
      <c r="QDA7" s="118" t="n"/>
      <c r="QDH7" s="118" t="n"/>
      <c r="QDO7" s="118" t="n"/>
      <c r="QDV7" s="118" t="n"/>
      <c r="QEC7" s="118" t="n"/>
      <c r="QEJ7" s="118" t="n"/>
      <c r="QEQ7" s="118" t="n"/>
      <c r="QEX7" s="118" t="n"/>
      <c r="QFE7" s="118" t="n"/>
      <c r="QFL7" s="118" t="n"/>
      <c r="QFS7" s="118" t="n"/>
      <c r="QFZ7" s="118" t="n"/>
      <c r="QGG7" s="118" t="n"/>
      <c r="QGN7" s="118" t="n"/>
      <c r="QGU7" s="118" t="n"/>
      <c r="QHB7" s="118" t="n"/>
      <c r="QHI7" s="118" t="n"/>
      <c r="QHP7" s="118" t="n"/>
      <c r="QHW7" s="118" t="n"/>
      <c r="QID7" s="118" t="n"/>
      <c r="QIK7" s="118" t="n"/>
      <c r="QIR7" s="118" t="n"/>
      <c r="QIY7" s="118" t="n"/>
      <c r="QJF7" s="118" t="n"/>
      <c r="QJM7" s="118" t="n"/>
      <c r="QJT7" s="118" t="n"/>
      <c r="QKA7" s="118" t="n"/>
      <c r="QKH7" s="118" t="n"/>
      <c r="QKO7" s="118" t="n"/>
      <c r="QKV7" s="118" t="n"/>
      <c r="QLC7" s="118" t="n"/>
      <c r="QLJ7" s="118" t="n"/>
      <c r="QLQ7" s="118" t="n"/>
      <c r="QLX7" s="118" t="n"/>
      <c r="QME7" s="118" t="n"/>
      <c r="QML7" s="118" t="n"/>
      <c r="QMS7" s="118" t="n"/>
      <c r="QMZ7" s="118" t="n"/>
      <c r="QNG7" s="118" t="n"/>
      <c r="QNN7" s="118" t="n"/>
      <c r="QNU7" s="118" t="n"/>
      <c r="QOB7" s="118" t="n"/>
      <c r="QOI7" s="118" t="n"/>
      <c r="QOP7" s="118" t="n"/>
      <c r="QOW7" s="118" t="n"/>
      <c r="QPD7" s="118" t="n"/>
      <c r="QPK7" s="118" t="n"/>
      <c r="QPR7" s="118" t="n"/>
      <c r="QPY7" s="118" t="n"/>
      <c r="QQF7" s="118" t="n"/>
      <c r="QQM7" s="118" t="n"/>
      <c r="QQT7" s="118" t="n"/>
      <c r="QRA7" s="118" t="n"/>
      <c r="QRH7" s="118" t="n"/>
      <c r="QRO7" s="118" t="n"/>
      <c r="QRV7" s="118" t="n"/>
      <c r="QSC7" s="118" t="n"/>
      <c r="QSJ7" s="118" t="n"/>
      <c r="QSQ7" s="118" t="n"/>
      <c r="QSX7" s="118" t="n"/>
      <c r="QTE7" s="118" t="n"/>
      <c r="QTL7" s="118" t="n"/>
      <c r="QTS7" s="118" t="n"/>
      <c r="QTZ7" s="118" t="n"/>
      <c r="QUG7" s="118" t="n"/>
      <c r="QUN7" s="118" t="n"/>
      <c r="QUU7" s="118" t="n"/>
      <c r="QVB7" s="118" t="n"/>
      <c r="QVI7" s="118" t="n"/>
      <c r="QVP7" s="118" t="n"/>
      <c r="QVW7" s="118" t="n"/>
      <c r="QWD7" s="118" t="n"/>
      <c r="QWK7" s="118" t="n"/>
      <c r="QWR7" s="118" t="n"/>
      <c r="QWY7" s="118" t="n"/>
      <c r="QXF7" s="118" t="n"/>
      <c r="QXM7" s="118" t="n"/>
      <c r="QXT7" s="118" t="n"/>
      <c r="QYA7" s="118" t="n"/>
      <c r="QYH7" s="118" t="n"/>
      <c r="QYO7" s="118" t="n"/>
      <c r="QYV7" s="118" t="n"/>
      <c r="QZC7" s="118" t="n"/>
      <c r="QZJ7" s="118" t="n"/>
      <c r="QZQ7" s="118" t="n"/>
      <c r="QZX7" s="118" t="n"/>
      <c r="RAE7" s="118" t="n"/>
      <c r="RAL7" s="118" t="n"/>
      <c r="RAS7" s="118" t="n"/>
      <c r="RAZ7" s="118" t="n"/>
      <c r="RBG7" s="118" t="n"/>
      <c r="RBN7" s="118" t="n"/>
      <c r="RBU7" s="118" t="n"/>
      <c r="RCB7" s="118" t="n"/>
      <c r="RCI7" s="118" t="n"/>
      <c r="RCP7" s="118" t="n"/>
      <c r="RCW7" s="118" t="n"/>
      <c r="RDD7" s="118" t="n"/>
      <c r="RDK7" s="118" t="n"/>
      <c r="RDR7" s="118" t="n"/>
      <c r="RDY7" s="118" t="n"/>
      <c r="REF7" s="118" t="n"/>
      <c r="REM7" s="118" t="n"/>
      <c r="RET7" s="118" t="n"/>
      <c r="RFA7" s="118" t="n"/>
      <c r="RFH7" s="118" t="n"/>
      <c r="RFO7" s="118" t="n"/>
      <c r="RFV7" s="118" t="n"/>
      <c r="RGC7" s="118" t="n"/>
      <c r="RGJ7" s="118" t="n"/>
      <c r="RGQ7" s="118" t="n"/>
      <c r="RGX7" s="118" t="n"/>
      <c r="RHE7" s="118" t="n"/>
      <c r="RHL7" s="118" t="n"/>
      <c r="RHS7" s="118" t="n"/>
      <c r="RHZ7" s="118" t="n"/>
      <c r="RIG7" s="118" t="n"/>
      <c r="RIN7" s="118" t="n"/>
      <c r="RIU7" s="118" t="n"/>
      <c r="RJB7" s="118" t="n"/>
      <c r="RJI7" s="118" t="n"/>
      <c r="RJP7" s="118" t="n"/>
      <c r="RJW7" s="118" t="n"/>
      <c r="RKD7" s="118" t="n"/>
      <c r="RKK7" s="118" t="n"/>
      <c r="RKR7" s="118" t="n"/>
      <c r="RKY7" s="118" t="n"/>
      <c r="RLF7" s="118" t="n"/>
      <c r="RLM7" s="118" t="n"/>
      <c r="RLT7" s="118" t="n"/>
      <c r="RMA7" s="118" t="n"/>
      <c r="RMH7" s="118" t="n"/>
      <c r="RMO7" s="118" t="n"/>
      <c r="RMV7" s="118" t="n"/>
      <c r="RNC7" s="118" t="n"/>
      <c r="RNJ7" s="118" t="n"/>
      <c r="RNQ7" s="118" t="n"/>
      <c r="RNX7" s="118" t="n"/>
      <c r="ROE7" s="118" t="n"/>
      <c r="ROL7" s="118" t="n"/>
      <c r="ROS7" s="118" t="n"/>
      <c r="ROZ7" s="118" t="n"/>
      <c r="RPG7" s="118" t="n"/>
      <c r="RPN7" s="118" t="n"/>
      <c r="RPU7" s="118" t="n"/>
      <c r="RQB7" s="118" t="n"/>
      <c r="RQI7" s="118" t="n"/>
      <c r="RQP7" s="118" t="n"/>
      <c r="RQW7" s="118" t="n"/>
      <c r="RRD7" s="118" t="n"/>
      <c r="RRK7" s="118" t="n"/>
      <c r="RRR7" s="118" t="n"/>
      <c r="RRY7" s="118" t="n"/>
      <c r="RSF7" s="118" t="n"/>
      <c r="RSM7" s="118" t="n"/>
      <c r="RST7" s="118" t="n"/>
      <c r="RTA7" s="118" t="n"/>
      <c r="RTH7" s="118" t="n"/>
      <c r="RTO7" s="118" t="n"/>
      <c r="RTV7" s="118" t="n"/>
      <c r="RUC7" s="118" t="n"/>
      <c r="RUJ7" s="118" t="n"/>
      <c r="RUQ7" s="118" t="n"/>
      <c r="RUX7" s="118" t="n"/>
      <c r="RVE7" s="118" t="n"/>
      <c r="RVL7" s="118" t="n"/>
      <c r="RVS7" s="118" t="n"/>
      <c r="RVZ7" s="118" t="n"/>
      <c r="RWG7" s="118" t="n"/>
      <c r="RWN7" s="118" t="n"/>
      <c r="RWU7" s="118" t="n"/>
      <c r="RXB7" s="118" t="n"/>
      <c r="RXI7" s="118" t="n"/>
      <c r="RXP7" s="118" t="n"/>
      <c r="RXW7" s="118" t="n"/>
      <c r="RYD7" s="118" t="n"/>
      <c r="RYK7" s="118" t="n"/>
      <c r="RYR7" s="118" t="n"/>
      <c r="RYY7" s="118" t="n"/>
      <c r="RZF7" s="118" t="n"/>
      <c r="RZM7" s="118" t="n"/>
      <c r="RZT7" s="118" t="n"/>
      <c r="SAA7" s="118" t="n"/>
      <c r="SAH7" s="118" t="n"/>
      <c r="SAO7" s="118" t="n"/>
      <c r="SAV7" s="118" t="n"/>
      <c r="SBC7" s="118" t="n"/>
      <c r="SBJ7" s="118" t="n"/>
      <c r="SBQ7" s="118" t="n"/>
      <c r="SBX7" s="118" t="n"/>
      <c r="SCE7" s="118" t="n"/>
      <c r="SCL7" s="118" t="n"/>
      <c r="SCS7" s="118" t="n"/>
      <c r="SCZ7" s="118" t="n"/>
      <c r="SDG7" s="118" t="n"/>
      <c r="SDN7" s="118" t="n"/>
      <c r="SDU7" s="118" t="n"/>
      <c r="SEB7" s="118" t="n"/>
      <c r="SEI7" s="118" t="n"/>
      <c r="SEP7" s="118" t="n"/>
      <c r="SEW7" s="118" t="n"/>
      <c r="SFD7" s="118" t="n"/>
      <c r="SFK7" s="118" t="n"/>
      <c r="SFR7" s="118" t="n"/>
      <c r="SFY7" s="118" t="n"/>
      <c r="SGF7" s="118" t="n"/>
      <c r="SGM7" s="118" t="n"/>
      <c r="SGT7" s="118" t="n"/>
      <c r="SHA7" s="118" t="n"/>
      <c r="SHH7" s="118" t="n"/>
      <c r="SHO7" s="118" t="n"/>
      <c r="SHV7" s="118" t="n"/>
      <c r="SIC7" s="118" t="n"/>
      <c r="SIJ7" s="118" t="n"/>
      <c r="SIQ7" s="118" t="n"/>
      <c r="SIX7" s="118" t="n"/>
      <c r="SJE7" s="118" t="n"/>
      <c r="SJL7" s="118" t="n"/>
      <c r="SJS7" s="118" t="n"/>
      <c r="SJZ7" s="118" t="n"/>
      <c r="SKG7" s="118" t="n"/>
      <c r="SKN7" s="118" t="n"/>
      <c r="SKU7" s="118" t="n"/>
      <c r="SLB7" s="118" t="n"/>
      <c r="SLI7" s="118" t="n"/>
      <c r="SLP7" s="118" t="n"/>
      <c r="SLW7" s="118" t="n"/>
      <c r="SMD7" s="118" t="n"/>
      <c r="SMK7" s="118" t="n"/>
      <c r="SMR7" s="118" t="n"/>
      <c r="SMY7" s="118" t="n"/>
      <c r="SNF7" s="118" t="n"/>
      <c r="SNM7" s="118" t="n"/>
      <c r="SNT7" s="118" t="n"/>
      <c r="SOA7" s="118" t="n"/>
      <c r="SOH7" s="118" t="n"/>
      <c r="SOO7" s="118" t="n"/>
      <c r="SOV7" s="118" t="n"/>
      <c r="SPC7" s="118" t="n"/>
      <c r="SPJ7" s="118" t="n"/>
      <c r="SPQ7" s="118" t="n"/>
      <c r="SPX7" s="118" t="n"/>
      <c r="SQE7" s="118" t="n"/>
      <c r="SQL7" s="118" t="n"/>
      <c r="SQS7" s="118" t="n"/>
      <c r="SQZ7" s="118" t="n"/>
      <c r="SRG7" s="118" t="n"/>
      <c r="SRN7" s="118" t="n"/>
      <c r="SRU7" s="118" t="n"/>
      <c r="SSB7" s="118" t="n"/>
      <c r="SSI7" s="118" t="n"/>
      <c r="SSP7" s="118" t="n"/>
      <c r="SSW7" s="118" t="n"/>
      <c r="STD7" s="118" t="n"/>
      <c r="STK7" s="118" t="n"/>
      <c r="STR7" s="118" t="n"/>
      <c r="STY7" s="118" t="n"/>
      <c r="SUF7" s="118" t="n"/>
      <c r="SUM7" s="118" t="n"/>
      <c r="SUT7" s="118" t="n"/>
      <c r="SVA7" s="118" t="n"/>
      <c r="SVH7" s="118" t="n"/>
      <c r="SVO7" s="118" t="n"/>
      <c r="SVV7" s="118" t="n"/>
      <c r="SWC7" s="118" t="n"/>
      <c r="SWJ7" s="118" t="n"/>
      <c r="SWQ7" s="118" t="n"/>
      <c r="SWX7" s="118" t="n"/>
      <c r="SXE7" s="118" t="n"/>
      <c r="SXL7" s="118" t="n"/>
      <c r="SXS7" s="118" t="n"/>
      <c r="SXZ7" s="118" t="n"/>
      <c r="SYG7" s="118" t="n"/>
      <c r="SYN7" s="118" t="n"/>
      <c r="SYU7" s="118" t="n"/>
      <c r="SZB7" s="118" t="n"/>
      <c r="SZI7" s="118" t="n"/>
      <c r="SZP7" s="118" t="n"/>
      <c r="SZW7" s="118" t="n"/>
      <c r="TAD7" s="118" t="n"/>
      <c r="TAK7" s="118" t="n"/>
      <c r="TAR7" s="118" t="n"/>
      <c r="TAY7" s="118" t="n"/>
      <c r="TBF7" s="118" t="n"/>
      <c r="TBM7" s="118" t="n"/>
      <c r="TBT7" s="118" t="n"/>
      <c r="TCA7" s="118" t="n"/>
      <c r="TCH7" s="118" t="n"/>
      <c r="TCO7" s="118" t="n"/>
      <c r="TCV7" s="118" t="n"/>
      <c r="TDC7" s="118" t="n"/>
      <c r="TDJ7" s="118" t="n"/>
      <c r="TDQ7" s="118" t="n"/>
      <c r="TDX7" s="118" t="n"/>
      <c r="TEE7" s="118" t="n"/>
      <c r="TEL7" s="118" t="n"/>
      <c r="TES7" s="118" t="n"/>
      <c r="TEZ7" s="118" t="n"/>
      <c r="TFG7" s="118" t="n"/>
      <c r="TFN7" s="118" t="n"/>
      <c r="TFU7" s="118" t="n"/>
      <c r="TGB7" s="118" t="n"/>
      <c r="TGI7" s="118" t="n"/>
      <c r="TGP7" s="118" t="n"/>
      <c r="TGW7" s="118" t="n"/>
      <c r="THD7" s="118" t="n"/>
      <c r="THK7" s="118" t="n"/>
      <c r="THR7" s="118" t="n"/>
      <c r="THY7" s="118" t="n"/>
      <c r="TIF7" s="118" t="n"/>
      <c r="TIM7" s="118" t="n"/>
      <c r="TIT7" s="118" t="n"/>
      <c r="TJA7" s="118" t="n"/>
      <c r="TJH7" s="118" t="n"/>
      <c r="TJO7" s="118" t="n"/>
      <c r="TJV7" s="118" t="n"/>
      <c r="TKC7" s="118" t="n"/>
      <c r="TKJ7" s="118" t="n"/>
      <c r="TKQ7" s="118" t="n"/>
      <c r="TKX7" s="118" t="n"/>
      <c r="TLE7" s="118" t="n"/>
      <c r="TLL7" s="118" t="n"/>
      <c r="TLS7" s="118" t="n"/>
      <c r="TLZ7" s="118" t="n"/>
      <c r="TMG7" s="118" t="n"/>
      <c r="TMN7" s="118" t="n"/>
      <c r="TMU7" s="118" t="n"/>
      <c r="TNB7" s="118" t="n"/>
      <c r="TNI7" s="118" t="n"/>
      <c r="TNP7" s="118" t="n"/>
      <c r="TNW7" s="118" t="n"/>
      <c r="TOD7" s="118" t="n"/>
      <c r="TOK7" s="118" t="n"/>
      <c r="TOR7" s="118" t="n"/>
      <c r="TOY7" s="118" t="n"/>
      <c r="TPF7" s="118" t="n"/>
      <c r="TPM7" s="118" t="n"/>
      <c r="TPT7" s="118" t="n"/>
      <c r="TQA7" s="118" t="n"/>
      <c r="TQH7" s="118" t="n"/>
      <c r="TQO7" s="118" t="n"/>
      <c r="TQV7" s="118" t="n"/>
      <c r="TRC7" s="118" t="n"/>
      <c r="TRJ7" s="118" t="n"/>
      <c r="TRQ7" s="118" t="n"/>
      <c r="TRX7" s="118" t="n"/>
      <c r="TSE7" s="118" t="n"/>
      <c r="TSL7" s="118" t="n"/>
      <c r="TSS7" s="118" t="n"/>
      <c r="TSZ7" s="118" t="n"/>
      <c r="TTG7" s="118" t="n"/>
      <c r="TTN7" s="118" t="n"/>
      <c r="TTU7" s="118" t="n"/>
      <c r="TUB7" s="118" t="n"/>
      <c r="TUI7" s="118" t="n"/>
      <c r="TUP7" s="118" t="n"/>
      <c r="TUW7" s="118" t="n"/>
      <c r="TVD7" s="118" t="n"/>
      <c r="TVK7" s="118" t="n"/>
      <c r="TVR7" s="118" t="n"/>
      <c r="TVY7" s="118" t="n"/>
      <c r="TWF7" s="118" t="n"/>
      <c r="TWM7" s="118" t="n"/>
      <c r="TWT7" s="118" t="n"/>
      <c r="TXA7" s="118" t="n"/>
      <c r="TXH7" s="118" t="n"/>
      <c r="TXO7" s="118" t="n"/>
      <c r="TXV7" s="118" t="n"/>
      <c r="TYC7" s="118" t="n"/>
      <c r="TYJ7" s="118" t="n"/>
      <c r="TYQ7" s="118" t="n"/>
      <c r="TYX7" s="118" t="n"/>
      <c r="TZE7" s="118" t="n"/>
      <c r="TZL7" s="118" t="n"/>
      <c r="TZS7" s="118" t="n"/>
      <c r="TZZ7" s="118" t="n"/>
      <c r="UAG7" s="118" t="n"/>
      <c r="UAN7" s="118" t="n"/>
      <c r="UAU7" s="118" t="n"/>
      <c r="UBB7" s="118" t="n"/>
      <c r="UBI7" s="118" t="n"/>
      <c r="UBP7" s="118" t="n"/>
      <c r="UBW7" s="118" t="n"/>
      <c r="UCD7" s="118" t="n"/>
      <c r="UCK7" s="118" t="n"/>
      <c r="UCR7" s="118" t="n"/>
      <c r="UCY7" s="118" t="n"/>
      <c r="UDF7" s="118" t="n"/>
      <c r="UDM7" s="118" t="n"/>
      <c r="UDT7" s="118" t="n"/>
      <c r="UEA7" s="118" t="n"/>
      <c r="UEH7" s="118" t="n"/>
      <c r="UEO7" s="118" t="n"/>
      <c r="UEV7" s="118" t="n"/>
      <c r="UFC7" s="118" t="n"/>
      <c r="UFJ7" s="118" t="n"/>
      <c r="UFQ7" s="118" t="n"/>
      <c r="UFX7" s="118" t="n"/>
      <c r="UGE7" s="118" t="n"/>
      <c r="UGL7" s="118" t="n"/>
      <c r="UGS7" s="118" t="n"/>
      <c r="UGZ7" s="118" t="n"/>
      <c r="UHG7" s="118" t="n"/>
      <c r="UHN7" s="118" t="n"/>
      <c r="UHU7" s="118" t="n"/>
      <c r="UIB7" s="118" t="n"/>
      <c r="UII7" s="118" t="n"/>
      <c r="UIP7" s="118" t="n"/>
      <c r="UIW7" s="118" t="n"/>
      <c r="UJD7" s="118" t="n"/>
      <c r="UJK7" s="118" t="n"/>
      <c r="UJR7" s="118" t="n"/>
      <c r="UJY7" s="118" t="n"/>
      <c r="UKF7" s="118" t="n"/>
      <c r="UKM7" s="118" t="n"/>
      <c r="UKT7" s="118" t="n"/>
      <c r="ULA7" s="118" t="n"/>
      <c r="ULH7" s="118" t="n"/>
      <c r="ULO7" s="118" t="n"/>
      <c r="ULV7" s="118" t="n"/>
      <c r="UMC7" s="118" t="n"/>
      <c r="UMJ7" s="118" t="n"/>
      <c r="UMQ7" s="118" t="n"/>
      <c r="UMX7" s="118" t="n"/>
      <c r="UNE7" s="118" t="n"/>
      <c r="UNL7" s="118" t="n"/>
      <c r="UNS7" s="118" t="n"/>
      <c r="UNZ7" s="118" t="n"/>
      <c r="UOG7" s="118" t="n"/>
      <c r="UON7" s="118" t="n"/>
      <c r="UOU7" s="118" t="n"/>
      <c r="UPB7" s="118" t="n"/>
      <c r="UPI7" s="118" t="n"/>
      <c r="UPP7" s="118" t="n"/>
      <c r="UPW7" s="118" t="n"/>
      <c r="UQD7" s="118" t="n"/>
      <c r="UQK7" s="118" t="n"/>
      <c r="UQR7" s="118" t="n"/>
      <c r="UQY7" s="118" t="n"/>
      <c r="URF7" s="118" t="n"/>
      <c r="URM7" s="118" t="n"/>
      <c r="URT7" s="118" t="n"/>
      <c r="USA7" s="118" t="n"/>
      <c r="USH7" s="118" t="n"/>
      <c r="USO7" s="118" t="n"/>
      <c r="USV7" s="118" t="n"/>
      <c r="UTC7" s="118" t="n"/>
      <c r="UTJ7" s="118" t="n"/>
      <c r="UTQ7" s="118" t="n"/>
      <c r="UTX7" s="118" t="n"/>
      <c r="UUE7" s="118" t="n"/>
      <c r="UUL7" s="118" t="n"/>
      <c r="UUS7" s="118" t="n"/>
      <c r="UUZ7" s="118" t="n"/>
      <c r="UVG7" s="118" t="n"/>
      <c r="UVN7" s="118" t="n"/>
      <c r="UVU7" s="118" t="n"/>
      <c r="UWB7" s="118" t="n"/>
      <c r="UWI7" s="118" t="n"/>
      <c r="UWP7" s="118" t="n"/>
      <c r="UWW7" s="118" t="n"/>
      <c r="UXD7" s="118" t="n"/>
      <c r="UXK7" s="118" t="n"/>
      <c r="UXR7" s="118" t="n"/>
      <c r="UXY7" s="118" t="n"/>
      <c r="UYF7" s="118" t="n"/>
      <c r="UYM7" s="118" t="n"/>
      <c r="UYT7" s="118" t="n"/>
      <c r="UZA7" s="118" t="n"/>
      <c r="UZH7" s="118" t="n"/>
      <c r="UZO7" s="118" t="n"/>
      <c r="UZV7" s="118" t="n"/>
      <c r="VAC7" s="118" t="n"/>
      <c r="VAJ7" s="118" t="n"/>
      <c r="VAQ7" s="118" t="n"/>
      <c r="VAX7" s="118" t="n"/>
      <c r="VBE7" s="118" t="n"/>
      <c r="VBL7" s="118" t="n"/>
      <c r="VBS7" s="118" t="n"/>
      <c r="VBZ7" s="118" t="n"/>
      <c r="VCG7" s="118" t="n"/>
      <c r="VCN7" s="118" t="n"/>
      <c r="VCU7" s="118" t="n"/>
      <c r="VDB7" s="118" t="n"/>
      <c r="VDI7" s="118" t="n"/>
      <c r="VDP7" s="118" t="n"/>
      <c r="VDW7" s="118" t="n"/>
      <c r="VED7" s="118" t="n"/>
      <c r="VEK7" s="118" t="n"/>
      <c r="VER7" s="118" t="n"/>
      <c r="VEY7" s="118" t="n"/>
      <c r="VFF7" s="118" t="n"/>
      <c r="VFM7" s="118" t="n"/>
      <c r="VFT7" s="118" t="n"/>
      <c r="VGA7" s="118" t="n"/>
      <c r="VGH7" s="118" t="n"/>
      <c r="VGO7" s="118" t="n"/>
      <c r="VGV7" s="118" t="n"/>
      <c r="VHC7" s="118" t="n"/>
      <c r="VHJ7" s="118" t="n"/>
      <c r="VHQ7" s="118" t="n"/>
      <c r="VHX7" s="118" t="n"/>
      <c r="VIE7" s="118" t="n"/>
      <c r="VIL7" s="118" t="n"/>
      <c r="VIS7" s="118" t="n"/>
      <c r="VIZ7" s="118" t="n"/>
      <c r="VJG7" s="118" t="n"/>
      <c r="VJN7" s="118" t="n"/>
      <c r="VJU7" s="118" t="n"/>
      <c r="VKB7" s="118" t="n"/>
      <c r="VKI7" s="118" t="n"/>
      <c r="VKP7" s="118" t="n"/>
      <c r="VKW7" s="118" t="n"/>
      <c r="VLD7" s="118" t="n"/>
      <c r="VLK7" s="118" t="n"/>
      <c r="VLR7" s="118" t="n"/>
      <c r="VLY7" s="118" t="n"/>
      <c r="VMF7" s="118" t="n"/>
      <c r="VMM7" s="118" t="n"/>
      <c r="VMT7" s="118" t="n"/>
      <c r="VNA7" s="118" t="n"/>
      <c r="VNH7" s="118" t="n"/>
      <c r="VNO7" s="118" t="n"/>
      <c r="VNV7" s="118" t="n"/>
      <c r="VOC7" s="118" t="n"/>
      <c r="VOJ7" s="118" t="n"/>
      <c r="VOQ7" s="118" t="n"/>
      <c r="VOX7" s="118" t="n"/>
      <c r="VPE7" s="118" t="n"/>
      <c r="VPL7" s="118" t="n"/>
      <c r="VPS7" s="118" t="n"/>
      <c r="VPZ7" s="118" t="n"/>
      <c r="VQG7" s="118" t="n"/>
      <c r="VQN7" s="118" t="n"/>
      <c r="VQU7" s="118" t="n"/>
      <c r="VRB7" s="118" t="n"/>
      <c r="VRI7" s="118" t="n"/>
      <c r="VRP7" s="118" t="n"/>
      <c r="VRW7" s="118" t="n"/>
      <c r="VSD7" s="118" t="n"/>
      <c r="VSK7" s="118" t="n"/>
      <c r="VSR7" s="118" t="n"/>
      <c r="VSY7" s="118" t="n"/>
      <c r="VTF7" s="118" t="n"/>
      <c r="VTM7" s="118" t="n"/>
      <c r="VTT7" s="118" t="n"/>
      <c r="VUA7" s="118" t="n"/>
      <c r="VUH7" s="118" t="n"/>
      <c r="VUO7" s="118" t="n"/>
      <c r="VUV7" s="118" t="n"/>
      <c r="VVC7" s="118" t="n"/>
      <c r="VVJ7" s="118" t="n"/>
      <c r="VVQ7" s="118" t="n"/>
      <c r="VVX7" s="118" t="n"/>
      <c r="VWE7" s="118" t="n"/>
      <c r="VWL7" s="118" t="n"/>
      <c r="VWS7" s="118" t="n"/>
      <c r="VWZ7" s="118" t="n"/>
      <c r="VXG7" s="118" t="n"/>
      <c r="VXN7" s="118" t="n"/>
      <c r="VXU7" s="118" t="n"/>
      <c r="VYB7" s="118" t="n"/>
      <c r="VYI7" s="118" t="n"/>
      <c r="VYP7" s="118" t="n"/>
      <c r="VYW7" s="118" t="n"/>
      <c r="VZD7" s="118" t="n"/>
      <c r="VZK7" s="118" t="n"/>
      <c r="VZR7" s="118" t="n"/>
      <c r="VZY7" s="118" t="n"/>
      <c r="WAF7" s="118" t="n"/>
      <c r="WAM7" s="118" t="n"/>
      <c r="WAT7" s="118" t="n"/>
      <c r="WBA7" s="118" t="n"/>
      <c r="WBH7" s="118" t="n"/>
      <c r="WBO7" s="118" t="n"/>
      <c r="WBV7" s="118" t="n"/>
      <c r="WCC7" s="118" t="n"/>
      <c r="WCJ7" s="118" t="n"/>
      <c r="WCQ7" s="118" t="n"/>
      <c r="WCX7" s="118" t="n"/>
      <c r="WDE7" s="118" t="n"/>
      <c r="WDL7" s="118" t="n"/>
      <c r="WDS7" s="118" t="n"/>
      <c r="WDZ7" s="118" t="n"/>
      <c r="WEG7" s="118" t="n"/>
      <c r="WEN7" s="118" t="n"/>
      <c r="WEU7" s="118" t="n"/>
      <c r="WFB7" s="118" t="n"/>
      <c r="WFI7" s="118" t="n"/>
      <c r="WFP7" s="118" t="n"/>
      <c r="WFW7" s="118" t="n"/>
      <c r="WGD7" s="118" t="n"/>
      <c r="WGK7" s="118" t="n"/>
      <c r="WGR7" s="118" t="n"/>
      <c r="WGY7" s="118" t="n"/>
      <c r="WHF7" s="118" t="n"/>
      <c r="WHM7" s="118" t="n"/>
      <c r="WHT7" s="118" t="n"/>
      <c r="WIA7" s="118" t="n"/>
      <c r="WIH7" s="118" t="n"/>
      <c r="WIO7" s="118" t="n"/>
      <c r="WIV7" s="118" t="n"/>
      <c r="WJC7" s="118" t="n"/>
      <c r="WJJ7" s="118" t="n"/>
      <c r="WJQ7" s="118" t="n"/>
      <c r="WJX7" s="118" t="n"/>
      <c r="WKE7" s="118" t="n"/>
      <c r="WKL7" s="118" t="n"/>
      <c r="WKS7" s="118" t="n"/>
      <c r="WKZ7" s="118" t="n"/>
      <c r="WLG7" s="118" t="n"/>
      <c r="WLN7" s="118" t="n"/>
      <c r="WLU7" s="118" t="n"/>
      <c r="WMB7" s="118" t="n"/>
      <c r="WMI7" s="118" t="n"/>
      <c r="WMP7" s="118" t="n"/>
      <c r="WMW7" s="118" t="n"/>
      <c r="WND7" s="118" t="n"/>
      <c r="WNK7" s="118" t="n"/>
      <c r="WNR7" s="118" t="n"/>
      <c r="WNY7" s="118" t="n"/>
      <c r="WOF7" s="118" t="n"/>
      <c r="WOM7" s="118" t="n"/>
      <c r="WOT7" s="118" t="n"/>
      <c r="WPA7" s="118" t="n"/>
      <c r="WPH7" s="118" t="n"/>
      <c r="WPO7" s="118" t="n"/>
      <c r="WPV7" s="118" t="n"/>
      <c r="WQC7" s="118" t="n"/>
      <c r="WQJ7" s="118" t="n"/>
      <c r="WQQ7" s="118" t="n"/>
      <c r="WQX7" s="118" t="n"/>
      <c r="WRE7" s="118" t="n"/>
      <c r="WRL7" s="118" t="n"/>
      <c r="WRS7" s="118" t="n"/>
      <c r="WRZ7" s="118" t="n"/>
      <c r="WSG7" s="118" t="n"/>
      <c r="WSN7" s="118" t="n"/>
      <c r="WSU7" s="118" t="n"/>
      <c r="WTB7" s="118" t="n"/>
      <c r="WTI7" s="118" t="n"/>
      <c r="WTP7" s="118" t="n"/>
      <c r="WTW7" s="118" t="n"/>
      <c r="WUD7" s="118" t="n"/>
      <c r="WUK7" s="118" t="n"/>
      <c r="WUR7" s="118" t="n"/>
      <c r="WUY7" s="118" t="n"/>
      <c r="WVF7" s="118" t="n"/>
      <c r="WVM7" s="118" t="n"/>
      <c r="WVT7" s="118" t="n"/>
      <c r="WWA7" s="118" t="n"/>
      <c r="WWH7" s="118" t="n"/>
      <c r="WWO7" s="118" t="n"/>
      <c r="WWV7" s="118" t="n"/>
      <c r="WXC7" s="118" t="n"/>
      <c r="WXJ7" s="118" t="n"/>
      <c r="WXQ7" s="118" t="n"/>
      <c r="WXX7" s="118" t="n"/>
      <c r="WYE7" s="118" t="n"/>
      <c r="WYL7" s="118" t="n"/>
      <c r="WYS7" s="118" t="n"/>
      <c r="WYZ7" s="118" t="n"/>
      <c r="WZG7" s="118" t="n"/>
      <c r="WZN7" s="118" t="n"/>
      <c r="WZU7" s="118" t="n"/>
      <c r="XAB7" s="118" t="n"/>
      <c r="XAI7" s="118" t="n"/>
      <c r="XAP7" s="118" t="n"/>
      <c r="XAW7" s="118" t="n"/>
      <c r="XBD7" s="118" t="n"/>
      <c r="XBK7" s="118" t="n"/>
      <c r="XBR7" s="118" t="n"/>
      <c r="XBY7" s="118" t="n"/>
      <c r="XCF7" s="118" t="n"/>
      <c r="XCM7" s="118" t="n"/>
      <c r="XCT7" s="118" t="n"/>
      <c r="XDA7" s="118" t="n"/>
      <c r="XDH7" s="118" t="n"/>
      <c r="XDO7" s="118" t="n"/>
      <c r="XDV7" s="118" t="n"/>
      <c r="XEC7" s="118" t="n"/>
      <c r="XEJ7" s="118" t="n"/>
      <c r="XEQ7" s="118" t="n"/>
      <c r="XEX7" s="118" t="n"/>
    </row>
    <row r="8">
      <c r="A8" s="118" t="inlineStr">
        <is>
          <t>Injection volume: 1 µL</t>
        </is>
      </c>
    </row>
    <row r="9" ht="15.75" customHeight="1" s="124" thickBot="1">
      <c r="A9" s="118" t="inlineStr">
        <is>
          <t>Elution rate: 0.70 mL/min</t>
        </is>
      </c>
    </row>
    <row r="10">
      <c r="A10" s="15" t="inlineStr">
        <is>
          <t>Time (min)</t>
        </is>
      </c>
      <c r="B10" s="16" t="n">
        <v>0</v>
      </c>
      <c r="C10" s="16" t="n">
        <v>0.2</v>
      </c>
      <c r="D10" s="16" t="n">
        <v>0.7</v>
      </c>
      <c r="E10" s="16" t="n">
        <v>1.2</v>
      </c>
      <c r="F10" s="17" t="n">
        <v>1.25</v>
      </c>
      <c r="G10" s="18" t="n">
        <v>1.5</v>
      </c>
    </row>
    <row r="11" ht="15.75" customHeight="1" s="124" thickBot="1">
      <c r="A11" s="121" t="inlineStr">
        <is>
          <t>% B</t>
        </is>
      </c>
      <c r="B11" s="122" t="n">
        <v>5</v>
      </c>
      <c r="C11" s="122" t="n">
        <v>5</v>
      </c>
      <c r="D11" s="122" t="n">
        <v>95</v>
      </c>
      <c r="E11" s="122" t="n">
        <v>95</v>
      </c>
      <c r="F11" s="19" t="n">
        <v>5</v>
      </c>
      <c r="G11" s="123" t="n">
        <v>5</v>
      </c>
    </row>
    <row r="12">
      <c r="A12" s="120" t="n"/>
    </row>
    <row r="13">
      <c r="A13" s="117" t="inlineStr">
        <is>
          <t>2. MS parameters</t>
        </is>
      </c>
    </row>
    <row r="14">
      <c r="A14" s="107" t="inlineStr">
        <is>
          <t xml:space="preserve">Ion source: Turbo spray </t>
        </is>
      </c>
    </row>
    <row r="15">
      <c r="A15" s="107" t="inlineStr">
        <is>
          <t>Ionization model: ESI</t>
        </is>
      </c>
    </row>
    <row r="16">
      <c r="A16" s="107" t="inlineStr">
        <is>
          <t>Scan type: MRM</t>
        </is>
      </c>
    </row>
    <row r="17" ht="15.75" customFormat="1" customHeight="1" s="37">
      <c r="A17" s="107" t="inlineStr">
        <is>
          <t>Collision gas: 9 L/min</t>
        </is>
      </c>
    </row>
    <row r="18">
      <c r="A18" s="107" t="inlineStr">
        <is>
          <t>Curtain gas: 40 L/min</t>
        </is>
      </c>
    </row>
    <row r="19">
      <c r="A19" s="107" t="inlineStr">
        <is>
          <t>Nebulize gas:65 L/min</t>
        </is>
      </c>
    </row>
    <row r="20">
      <c r="A20" s="107" t="inlineStr">
        <is>
          <t>Auxiliary gas: 65 L/min</t>
        </is>
      </c>
    </row>
    <row r="21">
      <c r="A21" s="107" t="inlineStr">
        <is>
          <t>Temperature: 420°C</t>
        </is>
      </c>
    </row>
    <row r="22" ht="15.75" customHeight="1" s="124" thickBot="1">
      <c r="A22" s="107" t="inlineStr">
        <is>
          <t>Ionspray voltage: +5500 V (positive)</t>
        </is>
      </c>
    </row>
    <row r="23">
      <c r="A23" s="20" t="inlineStr">
        <is>
          <t>Compound ID</t>
        </is>
      </c>
      <c r="B23" s="21" t="inlineStr">
        <is>
          <t>Q1 (m/z)</t>
        </is>
      </c>
      <c r="C23" s="21" t="inlineStr">
        <is>
          <t>Q3 (m/z)</t>
        </is>
      </c>
      <c r="D23" s="21" t="inlineStr">
        <is>
          <t>DP (V)</t>
        </is>
      </c>
      <c r="E23" s="22" t="inlineStr">
        <is>
          <t>CE (V)</t>
        </is>
      </c>
    </row>
    <row r="24" ht="15.75" customHeight="1" s="124" thickBot="1">
      <c r="A24" s="11" t="inlineStr">
        <is>
          <t>PH-NTU-00-00-000-1</t>
        </is>
      </c>
      <c r="B24" s="38" t="n">
        <v>461.305</v>
      </c>
      <c r="C24" s="41" t="n">
        <v>391.162</v>
      </c>
      <c r="D24" s="38" t="n">
        <v>100</v>
      </c>
      <c r="E24" s="39" t="n">
        <v>34</v>
      </c>
    </row>
  </sheetData>
  <mergeCells count="2360">
    <mergeCell ref="QGU7:QHA7"/>
    <mergeCell ref="SYG7:SYM7"/>
    <mergeCell ref="QPD7:QPJ7"/>
    <mergeCell ref="QKO7:QKU7"/>
    <mergeCell ref="JMZ7:JNF7"/>
    <mergeCell ref="COB7:COH7"/>
    <mergeCell ref="OBL7:OBR7"/>
    <mergeCell ref="HDW7:HEC7"/>
    <mergeCell ref="AAJ7:AAP7"/>
    <mergeCell ref="GZH7:GZN7"/>
    <mergeCell ref="EQE7:EQK7"/>
    <mergeCell ref="LPC7:LPI7"/>
    <mergeCell ref="AKB7:AKH7"/>
    <mergeCell ref="DZM7:DZS7"/>
    <mergeCell ref="BLU7:BMA7"/>
    <mergeCell ref="WIH7:WIN7"/>
    <mergeCell ref="NSH7:NSN7"/>
    <mergeCell ref="URF7:URL7"/>
    <mergeCell ref="SIC7:SII7"/>
    <mergeCell ref="WDS7:WDY7"/>
    <mergeCell ref="TUP7:TUV7"/>
    <mergeCell ref="MXA7:MXG7"/>
    <mergeCell ref="RMV7:RNB7"/>
    <mergeCell ref="PDS7:PDY7"/>
    <mergeCell ref="KJI7:KJO7"/>
    <mergeCell ref="NAU7:NBA7"/>
    <mergeCell ref="EH7:EN7"/>
    <mergeCell ref="OZD7:OZJ7"/>
    <mergeCell ref="DUC7:DUI7"/>
    <mergeCell ref="BCQ7:BCW7"/>
    <mergeCell ref="A21:G21"/>
    <mergeCell ref="BGK7:BGQ7"/>
    <mergeCell ref="QXT7:QXZ7"/>
    <mergeCell ref="MRQ7:MRW7"/>
    <mergeCell ref="VNO7:VNU7"/>
    <mergeCell ref="OPZ7:OQF7"/>
    <mergeCell ref="MGW7:MHC7"/>
    <mergeCell ref="KDY7:KEE7"/>
    <mergeCell ref="NTJ7:NTP7"/>
    <mergeCell ref="MCH7:MCN7"/>
    <mergeCell ref="AXG7:AXM7"/>
    <mergeCell ref="JTE7:JTK7"/>
    <mergeCell ref="QSC7:QSI7"/>
    <mergeCell ref="ABZ7:ACF7"/>
    <mergeCell ref="CZJ7:CZP7"/>
    <mergeCell ref="SAA7:SAG7"/>
    <mergeCell ref="KWN7:KWT7"/>
    <mergeCell ref="PMI7:PMO7"/>
    <mergeCell ref="SDU7:SEA7"/>
    <mergeCell ref="LGF7:LGL7"/>
    <mergeCell ref="EHH7:EHN7"/>
    <mergeCell ref="UCD7:UCJ7"/>
    <mergeCell ref="IXC7:IXI7"/>
    <mergeCell ref="ECS7:ECY7"/>
    <mergeCell ref="BTP7:BTV7"/>
    <mergeCell ref="ISN7:IST7"/>
    <mergeCell ref="GJK7:GJQ7"/>
    <mergeCell ref="GEV7:GFB7"/>
    <mergeCell ref="WAT7:WAZ7"/>
    <mergeCell ref="RUQ7:RUW7"/>
    <mergeCell ref="VFM7:VFS7"/>
    <mergeCell ref="PGY7:PHE7"/>
    <mergeCell ref="SWJ7:SWP7"/>
    <mergeCell ref="RFH7:RFN7"/>
    <mergeCell ref="GAG7:GAM7"/>
    <mergeCell ref="MCO7:MCU7"/>
    <mergeCell ref="FEZ7:FFF7"/>
    <mergeCell ref="DMO7:DMU7"/>
    <mergeCell ref="CVW7:CWC7"/>
    <mergeCell ref="ICJ7:ICP7"/>
    <mergeCell ref="CRH7:CRN7"/>
    <mergeCell ref="AIE7:AIK7"/>
    <mergeCell ref="HHC7:HHI7"/>
    <mergeCell ref="ADP7:ADV7"/>
    <mergeCell ref="XDA7:XDG7"/>
    <mergeCell ref="PZN7:PZT7"/>
    <mergeCell ref="WYL7:WYR7"/>
    <mergeCell ref="UPI7:UPO7"/>
    <mergeCell ref="JKH7:JKN7"/>
    <mergeCell ref="UKT7:UKZ7"/>
    <mergeCell ref="JFS7:JFY7"/>
    <mergeCell ref="MVD7:MVJ7"/>
    <mergeCell ref="SBQ7:SBW7"/>
    <mergeCell ref="GWP7:GWV7"/>
    <mergeCell ref="NVN7:NVT7"/>
    <mergeCell ref="ZA7:ZG7"/>
    <mergeCell ref="LMK7:LMQ7"/>
    <mergeCell ref="LHV7:LIB7"/>
    <mergeCell ref="EKG7:EKM7"/>
    <mergeCell ref="OXG7:OXM7"/>
    <mergeCell ref="CBD7:CBJ7"/>
    <mergeCell ref="BWO7:BWU7"/>
    <mergeCell ref="MPT7:MPZ7"/>
    <mergeCell ref="OOC7:OOI7"/>
    <mergeCell ref="RFO7:RFU7"/>
    <mergeCell ref="IPO7:IPU7"/>
    <mergeCell ref="POM7:POS7"/>
    <mergeCell ref="TDX7:TED7"/>
    <mergeCell ref="NFJ7:NFP7"/>
    <mergeCell ref="MAK7:MAQ7"/>
    <mergeCell ref="ORW7:OSC7"/>
    <mergeCell ref="HUH7:HUN7"/>
    <mergeCell ref="AVJ7:AVP7"/>
    <mergeCell ref="QQF7:QQL7"/>
    <mergeCell ref="FLE7:FLK7"/>
    <mergeCell ref="MKC7:MKI7"/>
    <mergeCell ref="FGP7:FGV7"/>
    <mergeCell ref="CXM7:CXS7"/>
    <mergeCell ref="VCN7:VCT7"/>
    <mergeCell ref="OIS7:OIY7"/>
    <mergeCell ref="RYD7:RYJ7"/>
    <mergeCell ref="XEQ7:XEW7"/>
    <mergeCell ref="QHB7:QHH7"/>
    <mergeCell ref="SYN7:SYT7"/>
    <mergeCell ref="LVA7:LVG7"/>
    <mergeCell ref="EFK7:EFQ7"/>
    <mergeCell ref="LEI7:LEO7"/>
    <mergeCell ref="QKV7:QLB7"/>
    <mergeCell ref="JNG7:JNM7"/>
    <mergeCell ref="UAG7:UAM7"/>
    <mergeCell ref="COI7:COO7"/>
    <mergeCell ref="BXQ7:BXW7"/>
    <mergeCell ref="HED7:HEJ7"/>
    <mergeCell ref="IQQ7:IQW7"/>
    <mergeCell ref="GZO7:GZU7"/>
    <mergeCell ref="JY7:KE7"/>
    <mergeCell ref="DZT7:DZZ7"/>
    <mergeCell ref="RST7:RSZ7"/>
    <mergeCell ref="TRC7:TRI7"/>
    <mergeCell ref="WIO7:WIU7"/>
    <mergeCell ref="RDK7:RDQ7"/>
    <mergeCell ref="FYJ7:FYP7"/>
    <mergeCell ref="TUW7:TVC7"/>
    <mergeCell ref="MXH7:MXN7"/>
    <mergeCell ref="BSG7:BSM7"/>
    <mergeCell ref="VTF7:VTL7"/>
    <mergeCell ref="KOE7:KOK7"/>
    <mergeCell ref="FTU7:FUA7"/>
    <mergeCell ref="KJP7:KJV7"/>
    <mergeCell ref="EO7:EU7"/>
    <mergeCell ref="IAM7:IAS7"/>
    <mergeCell ref="BCX7:BDD7"/>
    <mergeCell ref="DUJ7:DUP7"/>
    <mergeCell ref="TLS7:TLY7"/>
    <mergeCell ref="XBD7:XBJ7"/>
    <mergeCell ref="VKB7:VKH7"/>
    <mergeCell ref="QYA7:QYG7"/>
    <mergeCell ref="UNL7:UNR7"/>
    <mergeCell ref="JIK7:JIQ7"/>
    <mergeCell ref="QHI7:QHO7"/>
    <mergeCell ref="VNV7:VOB7"/>
    <mergeCell ref="HRI7:HRO7"/>
    <mergeCell ref="NTQ7:NTW7"/>
    <mergeCell ref="AXN7:AXT7"/>
    <mergeCell ref="LKN7:LKT7"/>
    <mergeCell ref="EMY7:ENE7"/>
    <mergeCell ref="BZG7:BZM7"/>
    <mergeCell ref="WVT7:WVZ7"/>
    <mergeCell ref="RQP7:RQV7"/>
    <mergeCell ref="UIB7:UIH7"/>
    <mergeCell ref="WGK7:WGQ7"/>
    <mergeCell ref="LBJ7:LBP7"/>
    <mergeCell ref="SAH7:SAN7"/>
    <mergeCell ref="PRE7:PRK7"/>
    <mergeCell ref="KWU7:KXA7"/>
    <mergeCell ref="INR7:INX7"/>
    <mergeCell ref="PMP7:PMV7"/>
    <mergeCell ref="EHO7:EHU7"/>
    <mergeCell ref="BQC7:BQI7"/>
    <mergeCell ref="NDM7:NDS7"/>
    <mergeCell ref="IXJ7:IXP7"/>
    <mergeCell ref="HSK7:HSQ7"/>
    <mergeCell ref="MYX7:MZD7"/>
    <mergeCell ref="BTW7:BUC7"/>
    <mergeCell ref="DSF7:DSL7"/>
    <mergeCell ref="JUN7:JUT7"/>
    <mergeCell ref="RLF7:RLL7"/>
    <mergeCell ref="WBA7:WBG7"/>
    <mergeCell ref="OLK7:OLQ7"/>
    <mergeCell ref="VKI7:VKO7"/>
    <mergeCell ref="MUI7:MUO7"/>
    <mergeCell ref="OGV7:OHB7"/>
    <mergeCell ref="SWQ7:SWW7"/>
    <mergeCell ref="LZB7:LZH7"/>
    <mergeCell ref="QNN7:QNT7"/>
    <mergeCell ref="JPY7:JQE7"/>
    <mergeCell ref="CML7:CMR7"/>
    <mergeCell ref="JLJ7:JLP7"/>
    <mergeCell ref="DMV7:DNB7"/>
    <mergeCell ref="HCG7:HCM7"/>
    <mergeCell ref="OBE7:OBK7"/>
    <mergeCell ref="CWD7:CWJ7"/>
    <mergeCell ref="ANA7:ANG7"/>
    <mergeCell ref="GXR7:GXX7"/>
    <mergeCell ref="EOO7:EOU7"/>
    <mergeCell ref="AIL7:AIR7"/>
    <mergeCell ref="WTP7:WTV7"/>
    <mergeCell ref="QEJ7:QEP7"/>
    <mergeCell ref="PZU7:QAA7"/>
    <mergeCell ref="NQR7:NQX7"/>
    <mergeCell ref="UPP7:UPV7"/>
    <mergeCell ref="GTC7:GTI7"/>
    <mergeCell ref="SGM7:SGS7"/>
    <mergeCell ref="MVK7:MVQ7"/>
    <mergeCell ref="SBX7:SCD7"/>
    <mergeCell ref="ZH7:ZN7"/>
    <mergeCell ref="KMH7:KMN7"/>
    <mergeCell ref="DOS7:DOY7"/>
    <mergeCell ref="IVF7:IVL7"/>
    <mergeCell ref="CR7:CX7"/>
    <mergeCell ref="OXN7:OXT7"/>
    <mergeCell ref="BBA7:BBG7"/>
    <mergeCell ref="CBK7:CBQ7"/>
    <mergeCell ref="FQV7:FRB7"/>
    <mergeCell ref="TJV7:TKB7"/>
    <mergeCell ref="VIE7:VIK7"/>
    <mergeCell ref="VQN7:VQT7"/>
    <mergeCell ref="SUM7:SUS7"/>
    <mergeCell ref="VLY7:VME7"/>
    <mergeCell ref="OOJ7:OOP7"/>
    <mergeCell ref="HPL7:HPR7"/>
    <mergeCell ref="DJI7:DJO7"/>
    <mergeCell ref="MFG7:MFM7"/>
    <mergeCell ref="TEE7:TEK7"/>
    <mergeCell ref="MAR7:MAX7"/>
    <mergeCell ref="AVQ7:AVW7"/>
    <mergeCell ref="JRO7:JRU7"/>
    <mergeCell ref="CTZ7:CUF7"/>
    <mergeCell ref="FLL7:FLR7"/>
    <mergeCell ref="AGH7:AGN7"/>
    <mergeCell ref="VCU7:VDA7"/>
    <mergeCell ref="STR7:STX7"/>
    <mergeCell ref="SPC7:SPI7"/>
    <mergeCell ref="RYK7:RYQ7"/>
    <mergeCell ref="QFZ7:QGF7"/>
    <mergeCell ref="NYF7:NYL7"/>
    <mergeCell ref="PKS7:PKY7"/>
    <mergeCell ref="EFR7:EFX7"/>
    <mergeCell ref="COP7:COV7"/>
    <mergeCell ref="UAN7:UAT7"/>
    <mergeCell ref="GEA7:GEG7"/>
    <mergeCell ref="KTV7:KUB7"/>
    <mergeCell ref="DQI7:DQO7"/>
    <mergeCell ref="KF7:KL7"/>
    <mergeCell ref="RTA7:RTG7"/>
    <mergeCell ref="TRJ7:TRP7"/>
    <mergeCell ref="IMI7:IMO7"/>
    <mergeCell ref="RIG7:RIM7"/>
    <mergeCell ref="MNW7:MOC7"/>
    <mergeCell ref="BIV7:BJB7"/>
    <mergeCell ref="RDR7:RDX7"/>
    <mergeCell ref="FYQ7:FYW7"/>
    <mergeCell ref="HWZ7:HXF7"/>
    <mergeCell ref="KOL7:KOR7"/>
    <mergeCell ref="FDJ7:FDP7"/>
    <mergeCell ref="DKY7:DLE7"/>
    <mergeCell ref="FJH7:FJN7"/>
    <mergeCell ref="CPR7:CPX7"/>
    <mergeCell ref="AGO7:AGU7"/>
    <mergeCell ref="XBK7:XBQ7"/>
    <mergeCell ref="WWV7:WXB7"/>
    <mergeCell ref="UNS7:UNY7"/>
    <mergeCell ref="JIR7:JIX7"/>
    <mergeCell ref="QHP7:QHV7"/>
    <mergeCell ref="HRP7:HRV7"/>
    <mergeCell ref="NTX7:NUD7"/>
    <mergeCell ref="XK7:XQ7"/>
    <mergeCell ref="ENF7:ENL7"/>
    <mergeCell ref="SV7:TB7"/>
    <mergeCell ref="CEC7:CEI7"/>
    <mergeCell ref="BZN7:BZT7"/>
    <mergeCell ref="WWA7:WWG7"/>
    <mergeCell ref="RQW7:RRC7"/>
    <mergeCell ref="UII7:UIO7"/>
    <mergeCell ref="NKT7:NKZ7"/>
    <mergeCell ref="GLV7:GMB7"/>
    <mergeCell ref="RAE7:RAK7"/>
    <mergeCell ref="WGR7:WGX7"/>
    <mergeCell ref="LBQ7:LBW7"/>
    <mergeCell ref="WCC7:WCI7"/>
    <mergeCell ref="KXB7:KXH7"/>
    <mergeCell ref="OMM7:OMS7"/>
    <mergeCell ref="DHL7:DHR7"/>
    <mergeCell ref="KGJ7:KGP7"/>
    <mergeCell ref="INY7:IOE7"/>
    <mergeCell ref="BQJ7:BQP7"/>
    <mergeCell ref="HG7:HM7"/>
    <mergeCell ref="HSR7:HSX7"/>
    <mergeCell ref="FJO7:FJU7"/>
    <mergeCell ref="VAX7:VBD7"/>
    <mergeCell ref="STD7:STJ7"/>
    <mergeCell ref="VKP7:VKV7"/>
    <mergeCell ref="OLR7:OLX7"/>
    <mergeCell ref="LPQ7:LPW7"/>
    <mergeCell ref="OHC7:OHI7"/>
    <mergeCell ref="TNP7:TNV7"/>
    <mergeCell ref="QFL7:QFR7"/>
    <mergeCell ref="SWX7:SXD7"/>
    <mergeCell ref="LXZ7:LYF7"/>
    <mergeCell ref="FAK7:FAQ7"/>
    <mergeCell ref="UVG7:UVM7"/>
    <mergeCell ref="EVV7:EWB7"/>
    <mergeCell ref="NRT7:NRZ7"/>
    <mergeCell ref="CMS7:CMY7"/>
    <mergeCell ref="JLQ7:JLW7"/>
    <mergeCell ref="HCN7:HCT7"/>
    <mergeCell ref="GXY7:GYE7"/>
    <mergeCell ref="II7:IO7"/>
    <mergeCell ref="WTW7:WUC7"/>
    <mergeCell ref="SNT7:SNZ7"/>
    <mergeCell ref="WDE7:WDK7"/>
    <mergeCell ref="QEQ7:QEW7"/>
    <mergeCell ref="LKG7:LKM7"/>
    <mergeCell ref="QAB7:QAH7"/>
    <mergeCell ref="TPM7:TPS7"/>
    <mergeCell ref="IKL7:IKR7"/>
    <mergeCell ref="PJJ7:PJP7"/>
    <mergeCell ref="UPW7:UQC7"/>
    <mergeCell ref="NQY7:NRE7"/>
    <mergeCell ref="IFW7:IGC7"/>
    <mergeCell ref="NMJ7:NMP7"/>
    <mergeCell ref="FWT7:FWZ7"/>
    <mergeCell ref="MVR7:MVX7"/>
    <mergeCell ref="KMO7:KMU7"/>
    <mergeCell ref="RLM7:RLS7"/>
    <mergeCell ref="KHZ7:KIF7"/>
    <mergeCell ref="CY7:DE7"/>
    <mergeCell ref="BBH7:BBN7"/>
    <mergeCell ref="VXU7:VYA7"/>
    <mergeCell ref="QSQ7:QSW7"/>
    <mergeCell ref="TKC7:TKI7"/>
    <mergeCell ref="VIL7:VIR7"/>
    <mergeCell ref="KDK7:KDQ7"/>
    <mergeCell ref="CZX7:DAD7"/>
    <mergeCell ref="JYV7:JZB7"/>
    <mergeCell ref="SUT7:SUZ7"/>
    <mergeCell ref="HPS7:HPY7"/>
    <mergeCell ref="OOQ7:OOW7"/>
    <mergeCell ref="DJP7:DJV7"/>
    <mergeCell ref="MFN7:MFT7"/>
    <mergeCell ref="HLD7:HLJ7"/>
    <mergeCell ref="VN7:VT7"/>
    <mergeCell ref="FCA7:FCG7"/>
    <mergeCell ref="MAY7:MBE7"/>
    <mergeCell ref="AVX7:AWD7"/>
    <mergeCell ref="ELI7:ELO7"/>
    <mergeCell ref="CUG7:CUM7"/>
    <mergeCell ref="VDB7:VDH7"/>
    <mergeCell ref="NNL7:NNR7"/>
    <mergeCell ref="NIW7:NJC7"/>
    <mergeCell ref="SPJ7:SPP7"/>
    <mergeCell ref="WEU7:WFA7"/>
    <mergeCell ref="KZT7:KZZ7"/>
    <mergeCell ref="RYR7:RYX7"/>
    <mergeCell ref="GTQ7:GTW7"/>
    <mergeCell ref="PPO7:PPU7"/>
    <mergeCell ref="WOM7:WOS7"/>
    <mergeCell ref="QD7:QJ7"/>
    <mergeCell ref="PKZ7:PLF7"/>
    <mergeCell ref="EFY7:EGE7"/>
    <mergeCell ref="BOM7:BOS7"/>
    <mergeCell ref="GEH7:GEN7"/>
    <mergeCell ref="AU7:BA7"/>
    <mergeCell ref="DQP7:DQV7"/>
    <mergeCell ref="KM7:KS7"/>
    <mergeCell ref="VVQ7:VVW7"/>
    <mergeCell ref="VZK7:VZQ7"/>
    <mergeCell ref="PBV7:PCB7"/>
    <mergeCell ref="ICX7:IDD7"/>
    <mergeCell ref="MSS7:MSY7"/>
    <mergeCell ref="TRQ7:TRW7"/>
    <mergeCell ref="RIN7:RIT7"/>
    <mergeCell ref="MOD7:MOJ7"/>
    <mergeCell ref="BJC7:BJI7"/>
    <mergeCell ref="EYN7:EYT7"/>
    <mergeCell ref="LXL7:LXR7"/>
    <mergeCell ref="RDY7:REE7"/>
    <mergeCell ref="KFA7:KFG7"/>
    <mergeCell ref="FYX7:FZD7"/>
    <mergeCell ref="JOI7:JOO7"/>
    <mergeCell ref="QNG7:QNM7"/>
    <mergeCell ref="JJT7:JJZ7"/>
    <mergeCell ref="DLF7:DLL7"/>
    <mergeCell ref="HAQ7:HAW7"/>
    <mergeCell ref="AGV7:AHB7"/>
    <mergeCell ref="SQL7:SQR7"/>
    <mergeCell ref="SLW7:SMC7"/>
    <mergeCell ref="QCT7:QCZ7"/>
    <mergeCell ref="XBR7:XBX7"/>
    <mergeCell ref="LWQ7:LWW7"/>
    <mergeCell ref="USO7:USU7"/>
    <mergeCell ref="PYE7:PYK7"/>
    <mergeCell ref="UNZ7:UOF7"/>
    <mergeCell ref="NQK7:NQQ7"/>
    <mergeCell ref="JIY7:JJE7"/>
    <mergeCell ref="GRM7:GRS7"/>
    <mergeCell ref="LHH7:LHN7"/>
    <mergeCell ref="GMX7:GND7"/>
    <mergeCell ref="EDU7:EEA7"/>
    <mergeCell ref="LCS7:LCY7"/>
    <mergeCell ref="GVG7:GVM7"/>
    <mergeCell ref="XR7:XX7"/>
    <mergeCell ref="DNC7:DNI7"/>
    <mergeCell ref="ITP7:ITV7"/>
    <mergeCell ref="IPA7:IPG7"/>
    <mergeCell ref="AZK7:AZQ7"/>
    <mergeCell ref="NFX7:NGD7"/>
    <mergeCell ref="UEV7:UFB7"/>
    <mergeCell ref="RVS7:RVY7"/>
    <mergeCell ref="KSF7:KSL7"/>
    <mergeCell ref="RRD7:RRJ7"/>
    <mergeCell ref="KBN7:KBT7"/>
    <mergeCell ref="RAL7:RAR7"/>
    <mergeCell ref="WGY7:WHE7"/>
    <mergeCell ref="PIA7:PIG7"/>
    <mergeCell ref="LBX7:LCD7"/>
    <mergeCell ref="ORI7:ORO7"/>
    <mergeCell ref="JWY7:JXE7"/>
    <mergeCell ref="DYK7:DYQ7"/>
    <mergeCell ref="OMT7:OMZ7"/>
    <mergeCell ref="DHS7:DHY7"/>
    <mergeCell ref="IOF7:IOL7"/>
    <mergeCell ref="AQG7:AQM7"/>
    <mergeCell ref="MDQ7:MDW7"/>
    <mergeCell ref="TCO7:TCU7"/>
    <mergeCell ref="FGB7:FGH7"/>
    <mergeCell ref="AYP7:AYV7"/>
    <mergeCell ref="HN7:HT7"/>
    <mergeCell ref="AUA7:AUG7"/>
    <mergeCell ref="CSJ7:CSP7"/>
    <mergeCell ref="FJV7:FKB7"/>
    <mergeCell ref="VFT7:VFZ7"/>
    <mergeCell ref="VBE7:VBK7"/>
    <mergeCell ref="SSB7:SSH7"/>
    <mergeCell ref="LUM7:LUS7"/>
    <mergeCell ref="LPX7:LQD7"/>
    <mergeCell ref="JGU7:JHA7"/>
    <mergeCell ref="QFS7:QFY7"/>
    <mergeCell ref="FAR7:FAX7"/>
    <mergeCell ref="IQC7:IQI7"/>
    <mergeCell ref="NWP7:NWV7"/>
    <mergeCell ref="CRO7:CRU7"/>
    <mergeCell ref="CMZ7:CNF7"/>
    <mergeCell ref="GCK7:GCQ7"/>
    <mergeCell ref="ADW7:AEC7"/>
    <mergeCell ref="A22:G22"/>
    <mergeCell ref="SIX7:SJD7"/>
    <mergeCell ref="IP7:IV7"/>
    <mergeCell ref="WYS7:WYY7"/>
    <mergeCell ref="WUD7:WUJ7"/>
    <mergeCell ref="PEN7:PET7"/>
    <mergeCell ref="WDL7:WDR7"/>
    <mergeCell ref="ULA7:ULG7"/>
    <mergeCell ref="TUI7:TUO7"/>
    <mergeCell ref="OZY7:PAE7"/>
    <mergeCell ref="MQV7:MRB7"/>
    <mergeCell ref="TPT7:TPZ7"/>
    <mergeCell ref="IKS7:IKY7"/>
    <mergeCell ref="FTG7:FTM7"/>
    <mergeCell ref="A9:G9"/>
    <mergeCell ref="RGQ7:RGW7"/>
    <mergeCell ref="RCB7:RCH7"/>
    <mergeCell ref="FXA7:FXG7"/>
    <mergeCell ref="DFO7:DFU7"/>
    <mergeCell ref="L7:R7"/>
    <mergeCell ref="HVJ7:HVP7"/>
    <mergeCell ref="KMV7:KNB7"/>
    <mergeCell ref="BBO7:BBU7"/>
    <mergeCell ref="QXM7:QXS7"/>
    <mergeCell ref="SJZ7:SKF7"/>
    <mergeCell ref="JTZ7:JUF7"/>
    <mergeCell ref="QSX7:QTD7"/>
    <mergeCell ref="OJU7:OKA7"/>
    <mergeCell ref="VIS7:VIY7"/>
    <mergeCell ref="NTC7:NTI7"/>
    <mergeCell ref="SZP7:SZV7"/>
    <mergeCell ref="DAE7:DAK7"/>
    <mergeCell ref="LWC7:LWI7"/>
    <mergeCell ref="CJM7:CJS7"/>
    <mergeCell ref="HPZ7:HQF7"/>
    <mergeCell ref="LFK7:LFQ7"/>
    <mergeCell ref="VU7:WA7"/>
    <mergeCell ref="IRS7:IRY7"/>
    <mergeCell ref="ELP7:ELV7"/>
    <mergeCell ref="UCY7:UDE7"/>
    <mergeCell ref="WUK7:WUQ7"/>
    <mergeCell ref="KWG7:KWM7"/>
    <mergeCell ref="NNS7:NNY7"/>
    <mergeCell ref="WJQ7:WJW7"/>
    <mergeCell ref="GKF7:GKL7"/>
    <mergeCell ref="WFB7:WFH7"/>
    <mergeCell ref="LAA7:LAG7"/>
    <mergeCell ref="IIO7:IIU7"/>
    <mergeCell ref="ECL7:ECR7"/>
    <mergeCell ref="MYJ7:MYP7"/>
    <mergeCell ref="PPV7:PQB7"/>
    <mergeCell ref="BTI7:BTO7"/>
    <mergeCell ref="FUW7:FVC7"/>
    <mergeCell ref="BOT7:BOZ7"/>
    <mergeCell ref="FQ7:FW7"/>
    <mergeCell ref="GEO7:GEU7"/>
    <mergeCell ref="BB7:BH7"/>
    <mergeCell ref="TXO7:TXU7"/>
    <mergeCell ref="VVX7:VWD7"/>
    <mergeCell ref="TMU7:TNA7"/>
    <mergeCell ref="IDE7:IDK7"/>
    <mergeCell ref="QZC7:QZI7"/>
    <mergeCell ref="HMM7:HMS7"/>
    <mergeCell ref="MSZ7:MTF7"/>
    <mergeCell ref="HHX7:HID7"/>
    <mergeCell ref="EYU7:EZA7"/>
    <mergeCell ref="JOP7:JOV7"/>
    <mergeCell ref="ADI7:ADO7"/>
    <mergeCell ref="SQS7:SQY7"/>
    <mergeCell ref="WSG7:WSM7"/>
    <mergeCell ref="PUR7:PUX7"/>
    <mergeCell ref="SMD7:SMJ7"/>
    <mergeCell ref="LNF7:LNL7"/>
    <mergeCell ref="QDA7:QDG7"/>
    <mergeCell ref="SBJ7:SBP7"/>
    <mergeCell ref="USV7:UTB7"/>
    <mergeCell ref="PYL7:PYR7"/>
    <mergeCell ref="CBY7:CCE7"/>
    <mergeCell ref="TNW7:TOC7"/>
    <mergeCell ref="NPI7:NPO7"/>
    <mergeCell ref="GRT7:GRZ7"/>
    <mergeCell ref="EIQ7:EIW7"/>
    <mergeCell ref="EEB7:EEH7"/>
    <mergeCell ref="DNJ7:DNP7"/>
    <mergeCell ref="AZR7:AZX7"/>
    <mergeCell ref="VWE7:VWK7"/>
    <mergeCell ref="NGE7:NGK7"/>
    <mergeCell ref="MPM7:MPS7"/>
    <mergeCell ref="RVZ7:RWF7"/>
    <mergeCell ref="QRA7:QRG7"/>
    <mergeCell ref="MKX7:MLD7"/>
    <mergeCell ref="VGV7:VHB7"/>
    <mergeCell ref="KBU7:KCA7"/>
    <mergeCell ref="RAS7:RAY7"/>
    <mergeCell ref="ORP7:ORV7"/>
    <mergeCell ref="JXF7:JXL7"/>
    <mergeCell ref="HOC7:HOI7"/>
    <mergeCell ref="ONA7:ONG7"/>
    <mergeCell ref="DHZ7:DIF7"/>
    <mergeCell ref="AQN7:AQT7"/>
    <mergeCell ref="AUH7:AUN7"/>
    <mergeCell ref="CSQ7:CSW7"/>
    <mergeCell ref="A2:G2"/>
    <mergeCell ref="UXR7:UXX7"/>
    <mergeCell ref="VBL7:VBR7"/>
    <mergeCell ref="ODW7:OEC7"/>
    <mergeCell ref="HEY7:HFE7"/>
    <mergeCell ref="WZU7:XAA7"/>
    <mergeCell ref="LUT7:LUZ7"/>
    <mergeCell ref="LQE7:LQK7"/>
    <mergeCell ref="ALD7:ALJ7"/>
    <mergeCell ref="EAO7:EAU7"/>
    <mergeCell ref="JHB7:JHH7"/>
    <mergeCell ref="IQJ7:IQP7"/>
    <mergeCell ref="BMW7:BNC7"/>
    <mergeCell ref="GCR7:GCX7"/>
    <mergeCell ref="IW7:JC7"/>
    <mergeCell ref="VUA7:VUG7"/>
    <mergeCell ref="RNX7:ROD7"/>
    <mergeCell ref="PEU7:PFA7"/>
    <mergeCell ref="PAF7:PAL7"/>
    <mergeCell ref="DVE7:DVK7"/>
    <mergeCell ref="MRC7:MRI7"/>
    <mergeCell ref="TQA7:TQG7"/>
    <mergeCell ref="IKZ7:ILF7"/>
    <mergeCell ref="FTN7:FTT7"/>
    <mergeCell ref="BHM7:BHS7"/>
    <mergeCell ref="DFV7:DGB7"/>
    <mergeCell ref="FXH7:FXN7"/>
    <mergeCell ref="S7:Y7"/>
    <mergeCell ref="HVQ7:HVW7"/>
    <mergeCell ref="ASD7:ASJ7"/>
    <mergeCell ref="VOQ7:VOW7"/>
    <mergeCell ref="MHY7:MIE7"/>
    <mergeCell ref="H7:K7"/>
    <mergeCell ref="SKG7:SKM7"/>
    <mergeCell ref="QTE7:QTK7"/>
    <mergeCell ref="FOD7:FOJ7"/>
    <mergeCell ref="JDO7:JDU7"/>
    <mergeCell ref="OKB7:OKH7"/>
    <mergeCell ref="VIZ7:VJF7"/>
    <mergeCell ref="DAL7:DAR7"/>
    <mergeCell ref="UMJ7:UMP7"/>
    <mergeCell ref="GPW7:GQC7"/>
    <mergeCell ref="CJT7:CJZ7"/>
    <mergeCell ref="HQG7:HQM7"/>
    <mergeCell ref="LFR7:LFX7"/>
    <mergeCell ref="AAQ7:AAW7"/>
    <mergeCell ref="WB7:WH7"/>
    <mergeCell ref="ELW7:EMC7"/>
    <mergeCell ref="WQX7:WRD7"/>
    <mergeCell ref="UHU7:UIA7"/>
    <mergeCell ref="NEH7:NEN7"/>
    <mergeCell ref="UDF7:UDL7"/>
    <mergeCell ref="IYE7:IYK7"/>
    <mergeCell ref="RUC7:RUI7"/>
    <mergeCell ref="NNZ7:NOF7"/>
    <mergeCell ref="RPN7:RPT7"/>
    <mergeCell ref="KRY7:KSE7"/>
    <mergeCell ref="GKM7:GKS7"/>
    <mergeCell ref="DTA7:DTG7"/>
    <mergeCell ref="PGK7:PGQ7"/>
    <mergeCell ref="IIV7:IJB7"/>
    <mergeCell ref="LAH7:LAN7"/>
    <mergeCell ref="MYQ7:MYW7"/>
    <mergeCell ref="OLD7:OLJ7"/>
    <mergeCell ref="FVD7:FVJ7"/>
    <mergeCell ref="BPA7:BPG7"/>
    <mergeCell ref="FX7:GD7"/>
    <mergeCell ref="BI7:BO7"/>
    <mergeCell ref="RKY7:RLE7"/>
    <mergeCell ref="KRD7:KRJ7"/>
    <mergeCell ref="VED7:VEJ7"/>
    <mergeCell ref="OGO7:OGU7"/>
    <mergeCell ref="TNB7:TNH7"/>
    <mergeCell ref="OBZ7:OCF7"/>
    <mergeCell ref="IDL7:IDR7"/>
    <mergeCell ref="LSW7:LTC7"/>
    <mergeCell ref="SRU7:SSA7"/>
    <mergeCell ref="HMT7:HMZ7"/>
    <mergeCell ref="MTG7:MTM7"/>
    <mergeCell ref="ANV7:AOB7"/>
    <mergeCell ref="QIR7:QIX7"/>
    <mergeCell ref="FDQ7:FDW7"/>
    <mergeCell ref="LOH7:LON7"/>
    <mergeCell ref="AJG7:AJM7"/>
    <mergeCell ref="JFE7:JFK7"/>
    <mergeCell ref="QEC7:QEI7"/>
    <mergeCell ref="EZB7:EZH7"/>
    <mergeCell ref="CPY7:CQE7"/>
    <mergeCell ref="JOW7:JPC7"/>
    <mergeCell ref="CLJ7:CLP7"/>
    <mergeCell ref="SHH7:SHN7"/>
    <mergeCell ref="WXC7:WXI7"/>
    <mergeCell ref="WSN7:WST7"/>
    <mergeCell ref="PUY7:PVE7"/>
    <mergeCell ref="UJK7:UJQ7"/>
    <mergeCell ref="NLV7:NMB7"/>
    <mergeCell ref="CGU7:CHA7"/>
    <mergeCell ref="DTH7:DTN7"/>
    <mergeCell ref="CCF7:CCL7"/>
    <mergeCell ref="TOD7:TOJ7"/>
    <mergeCell ref="KYD7:KYJ7"/>
    <mergeCell ref="RXB7:RXH7"/>
    <mergeCell ref="GSA7:GSG7"/>
    <mergeCell ref="FRQ7:FRW7"/>
    <mergeCell ref="KHL7:KHR7"/>
    <mergeCell ref="BLN7:BLT7"/>
    <mergeCell ref="EIX7:EJD7"/>
    <mergeCell ref="TC7:TI7"/>
    <mergeCell ref="CK7:CQ7"/>
    <mergeCell ref="A1:G1"/>
    <mergeCell ref="DDY7:DEE7"/>
    <mergeCell ref="EEI7:EEO7"/>
    <mergeCell ref="HTT7:HTZ7"/>
    <mergeCell ref="DNQ7:DNW7"/>
    <mergeCell ref="VRI7:VRO7"/>
    <mergeCell ref="TEZ7:TFF7"/>
    <mergeCell ref="QVW7:QWC7"/>
    <mergeCell ref="VLR7:VLX7"/>
    <mergeCell ref="QRH7:QRN7"/>
    <mergeCell ref="FMG7:FMM7"/>
    <mergeCell ref="OIE7:OIK7"/>
    <mergeCell ref="VHC7:VHI7"/>
    <mergeCell ref="KCB7:KCH7"/>
    <mergeCell ref="HKP7:HKV7"/>
    <mergeCell ref="EWX7:EXD7"/>
    <mergeCell ref="HOJ7:HOP7"/>
    <mergeCell ref="AQU7:ARA7"/>
    <mergeCell ref="UWP7:UWV7"/>
    <mergeCell ref="UXY7:UYE7"/>
    <mergeCell ref="UFX7:UGD7"/>
    <mergeCell ref="SOV7:SPB7"/>
    <mergeCell ref="UBI7:UBO7"/>
    <mergeCell ref="IWH7:IWN7"/>
    <mergeCell ref="HFF7:HFL7"/>
    <mergeCell ref="KUQ7:KUW7"/>
    <mergeCell ref="QBD7:QBJ7"/>
    <mergeCell ref="XAB7:XAH7"/>
    <mergeCell ref="PKL7:PKR7"/>
    <mergeCell ref="IGY7:IHE7"/>
    <mergeCell ref="KYK7:KYQ7"/>
    <mergeCell ref="EAV7:EBB7"/>
    <mergeCell ref="JHI7:JHO7"/>
    <mergeCell ref="MWT7:MWZ7"/>
    <mergeCell ref="BRS7:BRY7"/>
    <mergeCell ref="BND7:BNJ7"/>
    <mergeCell ref="EA7:EG7"/>
    <mergeCell ref="RJB7:RJH7"/>
    <mergeCell ref="VYW7:VZC7"/>
    <mergeCell ref="REM7:RES7"/>
    <mergeCell ref="OVJ7:OVP7"/>
    <mergeCell ref="VUH7:VUN7"/>
    <mergeCell ref="KPG7:KPM7"/>
    <mergeCell ref="TLE7:TLK7"/>
    <mergeCell ref="MNP7:MNV7"/>
    <mergeCell ref="PFB7:PFH7"/>
    <mergeCell ref="IBO7:IBU7"/>
    <mergeCell ref="BDZ7:BEF7"/>
    <mergeCell ref="JZX7:KAD7"/>
    <mergeCell ref="MRJ7:MRP7"/>
    <mergeCell ref="DKR7:DKX7"/>
    <mergeCell ref="DGC7:DGI7"/>
    <mergeCell ref="NZH7:NZN7"/>
    <mergeCell ref="MIF7:MIL7"/>
    <mergeCell ref="PXQ7:PXW7"/>
    <mergeCell ref="NJY7:NKE7"/>
    <mergeCell ref="QBK7:QBQ7"/>
    <mergeCell ref="JDV7:JEB7"/>
    <mergeCell ref="OKI7:OKO7"/>
    <mergeCell ref="CEX7:CFD7"/>
    <mergeCell ref="RZT7:RZZ7"/>
    <mergeCell ref="GUS7:GUY7"/>
    <mergeCell ref="CAI7:CAO7"/>
    <mergeCell ref="RF7:RL7"/>
    <mergeCell ref="GQD7:GQJ7"/>
    <mergeCell ref="EHA7:EHG7"/>
    <mergeCell ref="AAX7:ABD7"/>
    <mergeCell ref="WHM7:WHS7"/>
    <mergeCell ref="PSG7:PSM7"/>
    <mergeCell ref="TDC7:TDI7"/>
    <mergeCell ref="NEO7:NEU7"/>
    <mergeCell ref="GGZ7:GHF7"/>
    <mergeCell ref="PCX7:PDD7"/>
    <mergeCell ref="RUJ7:RUP7"/>
    <mergeCell ref="DXW7:DYC7"/>
    <mergeCell ref="MJH7:MJN7"/>
    <mergeCell ref="KAE7:KAK7"/>
    <mergeCell ref="DCP7:DCV7"/>
    <mergeCell ref="IJC7:IJI7"/>
    <mergeCell ref="BKE7:BKK7"/>
    <mergeCell ref="AOX7:APD7"/>
    <mergeCell ref="FES7:FEY7"/>
    <mergeCell ref="TCH7:TCN7"/>
    <mergeCell ref="SXS7:SXY7"/>
    <mergeCell ref="UWB7:UWH7"/>
    <mergeCell ref="QOP7:QOV7"/>
    <mergeCell ref="VEK7:VEQ7"/>
    <mergeCell ref="XCT7:XCZ7"/>
    <mergeCell ref="LXS7:LXY7"/>
    <mergeCell ref="SIJ7:SIP7"/>
    <mergeCell ref="UZV7:VAB7"/>
    <mergeCell ref="HDI7:HDO7"/>
    <mergeCell ref="WYE7:WYK7"/>
    <mergeCell ref="LTD7:LTJ7"/>
    <mergeCell ref="JKA7:JKG7"/>
    <mergeCell ref="JFL7:JFR7"/>
    <mergeCell ref="CHW7:CIC7"/>
    <mergeCell ref="YT7:YZ7"/>
    <mergeCell ref="UE7:UK7"/>
    <mergeCell ref="UQR7:UQX7"/>
    <mergeCell ref="SHO7:SHU7"/>
    <mergeCell ref="WXJ7:WXP7"/>
    <mergeCell ref="JAW7:JBC7"/>
    <mergeCell ref="SCZ7:SDF7"/>
    <mergeCell ref="KNJ7:KNP7"/>
    <mergeCell ref="RMH7:RMN7"/>
    <mergeCell ref="PDE7:PDK7"/>
    <mergeCell ref="IFP7:IFV7"/>
    <mergeCell ref="NMC7:NMI7"/>
    <mergeCell ref="GNE7:GNK7"/>
    <mergeCell ref="OYP7:OYV7"/>
    <mergeCell ref="DTO7:DTU7"/>
    <mergeCell ref="TOK7:TOQ7"/>
    <mergeCell ref="FRX7:FSD7"/>
    <mergeCell ref="KHS7:KHY7"/>
    <mergeCell ref="DEF7:DEL7"/>
    <mergeCell ref="FVR7:FVX7"/>
    <mergeCell ref="MGI7:MGO7"/>
    <mergeCell ref="TFG7:TFM7"/>
    <mergeCell ref="IAF7:IAL7"/>
    <mergeCell ref="A8:G8"/>
    <mergeCell ref="QWD7:QWJ7"/>
    <mergeCell ref="MBT7:MBZ7"/>
    <mergeCell ref="QRO7:QRU7"/>
    <mergeCell ref="FMN7:FMT7"/>
    <mergeCell ref="OIL7:OIR7"/>
    <mergeCell ref="HKW7:HLC7"/>
    <mergeCell ref="FBT7:FBZ7"/>
    <mergeCell ref="CYV7:CZB7"/>
    <mergeCell ref="EXE7:EXK7"/>
    <mergeCell ref="UL7:UR7"/>
    <mergeCell ref="PQJ7:PQP7"/>
    <mergeCell ref="WPH7:WPN7"/>
    <mergeCell ref="UGE7:UGK7"/>
    <mergeCell ref="UBP7:UBV7"/>
    <mergeCell ref="IWO7:IWU7"/>
    <mergeCell ref="RSM7:RSS7"/>
    <mergeCell ref="KUX7:KVD7"/>
    <mergeCell ref="PW7:QC7"/>
    <mergeCell ref="LH7:LN7"/>
    <mergeCell ref="IHF7:IHL7"/>
    <mergeCell ref="KYR7:KYX7"/>
    <mergeCell ref="EBC7:EBI7"/>
    <mergeCell ref="BRZ7:BSF7"/>
    <mergeCell ref="BNK7:BNQ7"/>
    <mergeCell ref="RJI7:RJO7"/>
    <mergeCell ref="VZD7:VZJ7"/>
    <mergeCell ref="RET7:REZ7"/>
    <mergeCell ref="OVQ7:OVW7"/>
    <mergeCell ref="VUO7:VUU7"/>
    <mergeCell ref="KPN7:KPT7"/>
    <mergeCell ref="OEY7:OFE7"/>
    <mergeCell ref="TLL7:TLR7"/>
    <mergeCell ref="PFI7:PFO7"/>
    <mergeCell ref="OAJ7:OAP7"/>
    <mergeCell ref="TGW7:THC7"/>
    <mergeCell ref="IBV7:ICB7"/>
    <mergeCell ref="BEG7:BEM7"/>
    <mergeCell ref="LRG7:LRM7"/>
    <mergeCell ref="SQE7:SQK7"/>
    <mergeCell ref="EXL7:EXR7"/>
    <mergeCell ref="UTJ7:UTP7"/>
    <mergeCell ref="SHA7:SHG7"/>
    <mergeCell ref="NZO7:NZU7"/>
    <mergeCell ref="MIM7:MIS7"/>
    <mergeCell ref="WVM7:WVS7"/>
    <mergeCell ref="PXX7:PYD7"/>
    <mergeCell ref="IUK7:IUQ7"/>
    <mergeCell ref="PTI7:PTO7"/>
    <mergeCell ref="LLW7:LMC7"/>
    <mergeCell ref="EOH7:EON7"/>
    <mergeCell ref="NKF7:NKL7"/>
    <mergeCell ref="UJD7:UJJ7"/>
    <mergeCell ref="QBR7:QBX7"/>
    <mergeCell ref="JEC7:JEI7"/>
    <mergeCell ref="CFE7:CFK7"/>
    <mergeCell ref="GUZ7:GVF7"/>
    <mergeCell ref="NFQ7:NFW7"/>
    <mergeCell ref="CAP7:CAV7"/>
    <mergeCell ref="FQA7:FQG7"/>
    <mergeCell ref="RM7:RS7"/>
    <mergeCell ref="GQK7:GQQ7"/>
    <mergeCell ref="WMI7:WMO7"/>
    <mergeCell ref="WHT7:WHZ7"/>
    <mergeCell ref="TYQ7:TYW7"/>
    <mergeCell ref="THY7:TIE7"/>
    <mergeCell ref="TDJ7:TDP7"/>
    <mergeCell ref="NEV7:NFB7"/>
    <mergeCell ref="GHG7:GHM7"/>
    <mergeCell ref="QUG7:QUM7"/>
    <mergeCell ref="JWR7:JWX7"/>
    <mergeCell ref="DYD7:DYJ7"/>
    <mergeCell ref="CTE7:CTK7"/>
    <mergeCell ref="FKQ7:FKW7"/>
    <mergeCell ref="HIZ7:HJF7"/>
    <mergeCell ref="KAL7:KAR7"/>
    <mergeCell ref="DBN7:DBT7"/>
    <mergeCell ref="IJJ7:IJP7"/>
    <mergeCell ref="DCW7:DDC7"/>
    <mergeCell ref="LYU7:LZA7"/>
    <mergeCell ref="BKL7:BKR7"/>
    <mergeCell ref="ATT7:ATZ7"/>
    <mergeCell ref="EVH7:EVN7"/>
    <mergeCell ref="APE7:APK7"/>
    <mergeCell ref="QGN7:QGT7"/>
    <mergeCell ref="NXK7:NXQ7"/>
    <mergeCell ref="UWI7:UWO7"/>
    <mergeCell ref="JRH7:JRN7"/>
    <mergeCell ref="NGS7:NGY7"/>
    <mergeCell ref="SNF7:SNL7"/>
    <mergeCell ref="HIE7:HIK7"/>
    <mergeCell ref="CNU7:COA7"/>
    <mergeCell ref="SIQ7:SIW7"/>
    <mergeCell ref="HDP7:HDV7"/>
    <mergeCell ref="AGA7:AGG7"/>
    <mergeCell ref="KTA7:KTG7"/>
    <mergeCell ref="AER7:AEX7"/>
    <mergeCell ref="JBY7:JCE7"/>
    <mergeCell ref="LTK7:LTQ7"/>
    <mergeCell ref="EUM7:EUS7"/>
    <mergeCell ref="JK7:JQ7"/>
    <mergeCell ref="DZF7:DZL7"/>
    <mergeCell ref="CID7:CIJ7"/>
    <mergeCell ref="ULV7:UMB7"/>
    <mergeCell ref="RHL7:RHR7"/>
    <mergeCell ref="WNY7:WOE7"/>
    <mergeCell ref="VXG7:VXM7"/>
    <mergeCell ref="VSR7:VSX7"/>
    <mergeCell ref="KNQ7:KNW7"/>
    <mergeCell ref="HWE7:HWK7"/>
    <mergeCell ref="TJO7:TJU7"/>
    <mergeCell ref="MLZ7:MMF7"/>
    <mergeCell ref="PDL7:PDR7"/>
    <mergeCell ref="GNL7:GNR7"/>
    <mergeCell ref="BGY7:BHE7"/>
    <mergeCell ref="RBU7:RCA7"/>
    <mergeCell ref="BCJ7:BCP7"/>
    <mergeCell ref="JYH7:JYN7"/>
    <mergeCell ref="FSE7:FSK7"/>
    <mergeCell ref="A17:G17"/>
    <mergeCell ref="DJB7:DJH7"/>
    <mergeCell ref="DEM7:DES7"/>
    <mergeCell ref="A19:G19"/>
    <mergeCell ref="VJN7:VJT7"/>
    <mergeCell ref="TAK7:TAQ7"/>
    <mergeCell ref="OUH7:OUN7"/>
    <mergeCell ref="SJS7:SJY7"/>
    <mergeCell ref="HQU7:HRA7"/>
    <mergeCell ref="QMS7:QMY7"/>
    <mergeCell ref="MGP7:MGV7"/>
    <mergeCell ref="PWA7:PWG7"/>
    <mergeCell ref="QWK7:QWQ7"/>
    <mergeCell ref="EMK7:EMQ7"/>
    <mergeCell ref="JSX7:JTD7"/>
    <mergeCell ref="NII7:NIO7"/>
    <mergeCell ref="CDH7:CDN7"/>
    <mergeCell ref="JCF7:JCL7"/>
    <mergeCell ref="AMF7:AML7"/>
    <mergeCell ref="GON7:GOT7"/>
    <mergeCell ref="WKL7:WKR7"/>
    <mergeCell ref="MZE7:MZK7"/>
    <mergeCell ref="PQQ7:PQW7"/>
    <mergeCell ref="ROZ7:RPF7"/>
    <mergeCell ref="UGL7:UGR7"/>
    <mergeCell ref="GJY7:GKE7"/>
    <mergeCell ref="KLM7:KLS7"/>
    <mergeCell ref="GL7:GR7"/>
    <mergeCell ref="GFJ7:GFP7"/>
    <mergeCell ref="PBH7:PBN7"/>
    <mergeCell ref="DWG7:DWM7"/>
    <mergeCell ref="KVE7:KVK7"/>
    <mergeCell ref="IMB7:IMH7"/>
    <mergeCell ref="DRR7:DRX7"/>
    <mergeCell ref="DAZ7:DBF7"/>
    <mergeCell ref="IHM7:IHS7"/>
    <mergeCell ref="BIO7:BIU7"/>
    <mergeCell ref="ANH7:ANN7"/>
    <mergeCell ref="MTU7:MUA7"/>
    <mergeCell ref="VPS7:VPY7"/>
    <mergeCell ref="RJP7:RJV7"/>
    <mergeCell ref="UZA7:UZG7"/>
    <mergeCell ref="JPK7:JPQ7"/>
    <mergeCell ref="OVX7:OWD7"/>
    <mergeCell ref="SLI7:SLO7"/>
    <mergeCell ref="HGH7:HGN7"/>
    <mergeCell ref="OFF7:OFL7"/>
    <mergeCell ref="FPF7:FPL7"/>
    <mergeCell ref="LRN7:LRT7"/>
    <mergeCell ref="ETY7:EUE7"/>
    <mergeCell ref="AMM7:AMS7"/>
    <mergeCell ref="CKV7:CLB7"/>
    <mergeCell ref="CGG7:CGM7"/>
    <mergeCell ref="XD7:XJ7"/>
    <mergeCell ref="SO7:SU7"/>
    <mergeCell ref="UTQ7:UTW7"/>
    <mergeCell ref="WRZ7:WSF7"/>
    <mergeCell ref="SFY7:SGE7"/>
    <mergeCell ref="LIJ7:LIP7"/>
    <mergeCell ref="UEH7:UEN7"/>
    <mergeCell ref="IZG7:IZM7"/>
    <mergeCell ref="NPB7:NPH7"/>
    <mergeCell ref="IUR7:IUX7"/>
    <mergeCell ref="IDZ7:IEF7"/>
    <mergeCell ref="NKM7:NKS7"/>
    <mergeCell ref="GLO7:GLU7"/>
    <mergeCell ref="CFL7:CFR7"/>
    <mergeCell ref="NZ7:OF7"/>
    <mergeCell ref="FQH7:FQN7"/>
    <mergeCell ref="RT7:RZ7"/>
    <mergeCell ref="DHE7:DHK7"/>
    <mergeCell ref="RWU7:RXA7"/>
    <mergeCell ref="WMP7:WMV7"/>
    <mergeCell ref="OSK7:OSQ7"/>
    <mergeCell ref="TYX7:TZD7"/>
    <mergeCell ref="TIF7:TIL7"/>
    <mergeCell ref="ONV7:OOB7"/>
    <mergeCell ref="MES7:MEY7"/>
    <mergeCell ref="QUN7:QUT7"/>
    <mergeCell ref="HNV7:HOB7"/>
    <mergeCell ref="CTL7:CTR7"/>
    <mergeCell ref="HJG7:HJM7"/>
    <mergeCell ref="FAD7:FAJ7"/>
    <mergeCell ref="EVO7:EVU7"/>
    <mergeCell ref="QLJ7:QLP7"/>
    <mergeCell ref="OCG7:OCM7"/>
    <mergeCell ref="JHW7:JIC7"/>
    <mergeCell ref="NXR7:NXX7"/>
    <mergeCell ref="NGZ7:NHF7"/>
    <mergeCell ref="SNM7:SNS7"/>
    <mergeCell ref="LOO7:LOU7"/>
    <mergeCell ref="EQZ7:ERF7"/>
    <mergeCell ref="GDM7:GDS7"/>
    <mergeCell ref="LJZ7:LKF7"/>
    <mergeCell ref="KTH7:KTN7"/>
    <mergeCell ref="PJC7:PJI7"/>
    <mergeCell ref="JR7:JX7"/>
    <mergeCell ref="TVK7:TVQ7"/>
    <mergeCell ref="TQV7:TRB7"/>
    <mergeCell ref="RHS7:RHY7"/>
    <mergeCell ref="NBP7:NBV7"/>
    <mergeCell ref="VXN7:VXT7"/>
    <mergeCell ref="FYC7:FYI7"/>
    <mergeCell ref="VSY7:VTE7"/>
    <mergeCell ref="KNX7:KOD7"/>
    <mergeCell ref="HWL7:HWR7"/>
    <mergeCell ref="MMG7:MMM7"/>
    <mergeCell ref="BHF7:BHL7"/>
    <mergeCell ref="KDD7:KDJ7"/>
    <mergeCell ref="JYO7:JYU7"/>
    <mergeCell ref="ARW7:ASC7"/>
    <mergeCell ref="OKW7:OLC7"/>
    <mergeCell ref="VJU7:VKA7"/>
    <mergeCell ref="TAR7:TAX7"/>
    <mergeCell ref="HRB7:HRH7"/>
    <mergeCell ref="LGM7:LGS7"/>
    <mergeCell ref="QMZ7:QNF7"/>
    <mergeCell ref="PWH7:PWN7"/>
    <mergeCell ref="ERG7:ERM7"/>
    <mergeCell ref="UMC7:UMI7"/>
    <mergeCell ref="EMR7:EMX7"/>
    <mergeCell ref="NIP7:NIV7"/>
    <mergeCell ref="CDO7:CDU7"/>
    <mergeCell ref="JCM7:JCS7"/>
    <mergeCell ref="GOU7:GPA7"/>
    <mergeCell ref="WKS7:WKY7"/>
    <mergeCell ref="SEP7:SEV7"/>
    <mergeCell ref="WGD7:WGJ7"/>
    <mergeCell ref="LBC7:LBI7"/>
    <mergeCell ref="MZL7:MZR7"/>
    <mergeCell ref="PQX7:PRD7"/>
    <mergeCell ref="RPG7:RPM7"/>
    <mergeCell ref="UGS7:UGY7"/>
    <mergeCell ref="TBT7:TBZ7"/>
    <mergeCell ref="KLT7:KLZ7"/>
    <mergeCell ref="NDF7:NDL7"/>
    <mergeCell ref="GFQ7:GFW7"/>
    <mergeCell ref="GS7:GY7"/>
    <mergeCell ref="PBO7:PBU7"/>
    <mergeCell ref="DWN7:DWT7"/>
    <mergeCell ref="DRY7:DSE7"/>
    <mergeCell ref="DBG7:DBM7"/>
    <mergeCell ref="ANO7:ANU7"/>
    <mergeCell ref="MUB7:MUH7"/>
    <mergeCell ref="QJM7:QJS7"/>
    <mergeCell ref="VPZ7:VQF7"/>
    <mergeCell ref="RJW7:RKC7"/>
    <mergeCell ref="UZH7:UZN7"/>
    <mergeCell ref="JUG7:JUM7"/>
    <mergeCell ref="QEX7:QFD7"/>
    <mergeCell ref="UUS7:UUY7"/>
    <mergeCell ref="JPR7:JPX7"/>
    <mergeCell ref="OWE7:OWK7"/>
    <mergeCell ref="GYF7:GYL7"/>
    <mergeCell ref="SLP7:SLV7"/>
    <mergeCell ref="HGO7:HGU7"/>
    <mergeCell ref="OFM7:OFS7"/>
    <mergeCell ref="CQT7:CQZ7"/>
    <mergeCell ref="HBZ7:HCF7"/>
    <mergeCell ref="AEK7:AEQ7"/>
    <mergeCell ref="ESW7:ETC7"/>
    <mergeCell ref="LRU7:LSA7"/>
    <mergeCell ref="EUF7:EUL7"/>
    <mergeCell ref="CLC7:CLI7"/>
    <mergeCell ref="CGN7:CGT7"/>
    <mergeCell ref="SCL7:SCR7"/>
    <mergeCell ref="POT7:POZ7"/>
    <mergeCell ref="WNR7:WNX7"/>
    <mergeCell ref="LIQ7:LIW7"/>
    <mergeCell ref="EJS7:EJY7"/>
    <mergeCell ref="OYB7:OYH7"/>
    <mergeCell ref="UEO7:UEU7"/>
    <mergeCell ref="IZN7:IZT7"/>
    <mergeCell ref="DOL7:DOR7"/>
    <mergeCell ref="IUY7:IVE7"/>
    <mergeCell ref="BWA7:BWG7"/>
    <mergeCell ref="MKJ7:MKP7"/>
    <mergeCell ref="BFI7:BFO7"/>
    <mergeCell ref="IEG7:IEM7"/>
    <mergeCell ref="OG7:OM7"/>
    <mergeCell ref="BAT7:BAZ7"/>
    <mergeCell ref="FQO7:FQU7"/>
    <mergeCell ref="VMM7:VMS7"/>
    <mergeCell ref="VHX7:VID7"/>
    <mergeCell ref="SYU7:SZA7"/>
    <mergeCell ref="MBF7:MBL7"/>
    <mergeCell ref="OSR7:OSX7"/>
    <mergeCell ref="TIM7:TIS7"/>
    <mergeCell ref="JNN7:JNT7"/>
    <mergeCell ref="MEZ7:MFF7"/>
    <mergeCell ref="FHK7:FHQ7"/>
    <mergeCell ref="ODI7:ODO7"/>
    <mergeCell ref="QUU7:QVA7"/>
    <mergeCell ref="CYH7:CYN7"/>
    <mergeCell ref="CTS7:CTY7"/>
    <mergeCell ref="AKP7:AKV7"/>
    <mergeCell ref="HJN7:HJT7"/>
    <mergeCell ref="URT7:URZ7"/>
    <mergeCell ref="QLQ7:QLW7"/>
    <mergeCell ref="UBB7:UBH7"/>
    <mergeCell ref="MXO7:MXU7"/>
    <mergeCell ref="IRL7:IRR7"/>
    <mergeCell ref="NXY7:NYE7"/>
    <mergeCell ref="RNJ7:RNP7"/>
    <mergeCell ref="GII7:GIO7"/>
    <mergeCell ref="NHG7:NHM7"/>
    <mergeCell ref="GDT7:GDZ7"/>
    <mergeCell ref="OZR7:OZX7"/>
    <mergeCell ref="DUQ7:DUW7"/>
    <mergeCell ref="KTO7:KTU7"/>
    <mergeCell ref="ON7:OT7"/>
    <mergeCell ref="REF7:REL7"/>
    <mergeCell ref="TVR7:TVX7"/>
    <mergeCell ref="MSE7:MSK7"/>
    <mergeCell ref="OQN7:OQT7"/>
    <mergeCell ref="RHZ7:RIF7"/>
    <mergeCell ref="KKK7:KKQ7"/>
    <mergeCell ref="DLM7:DLS7"/>
    <mergeCell ref="TGI7:TGO7"/>
    <mergeCell ref="IBH7:IBN7"/>
    <mergeCell ref="DGX7:DHD7"/>
    <mergeCell ref="AXU7:AYA7"/>
    <mergeCell ref="HWS7:HWY7"/>
    <mergeCell ref="AHC7:AHI7"/>
    <mergeCell ref="FNP7:FNV7"/>
    <mergeCell ref="MMN7:MMT7"/>
    <mergeCell ref="FJA7:FJG7"/>
    <mergeCell ref="CJF7:CJL7"/>
    <mergeCell ref="QYV7:QZB7"/>
    <mergeCell ref="SAO7:SAU7"/>
    <mergeCell ref="USA7:USG7"/>
    <mergeCell ref="NUL7:NUR7"/>
    <mergeCell ref="TAY7:TBE7"/>
    <mergeCell ref="WQJ7:WQP7"/>
    <mergeCell ref="LLI7:LLO7"/>
    <mergeCell ref="EHV7:EIB7"/>
    <mergeCell ref="LGT7:LGZ7"/>
    <mergeCell ref="ABS7:ABY7"/>
    <mergeCell ref="UCR7:UCX7"/>
    <mergeCell ref="IXQ7:IXW7"/>
    <mergeCell ref="PWO7:PWU7"/>
    <mergeCell ref="ERN7:ERT7"/>
    <mergeCell ref="CAB7:CAH7"/>
    <mergeCell ref="MJ7:MP7"/>
    <mergeCell ref="CDV7:CEB7"/>
    <mergeCell ref="ECE7:ECK7"/>
    <mergeCell ref="RVE7:RVK7"/>
    <mergeCell ref="TTN7:TTT7"/>
    <mergeCell ref="WKZ7:WLF7"/>
    <mergeCell ref="IOM7:IOS7"/>
    <mergeCell ref="TXH7:TXN7"/>
    <mergeCell ref="MZS7:MZY7"/>
    <mergeCell ref="GAU7:GBA7"/>
    <mergeCell ref="BUR7:BUX7"/>
    <mergeCell ref="FKC7:FKI7"/>
    <mergeCell ref="KQP7:KQV7"/>
    <mergeCell ref="FFN7:FFT7"/>
    <mergeCell ref="KMA7:KMG7"/>
    <mergeCell ref="GZ7:HF7"/>
    <mergeCell ref="CWK7:CWQ7"/>
    <mergeCell ref="JVI7:JVO7"/>
    <mergeCell ref="DWU7:DXA7"/>
    <mergeCell ref="HMF7:HML7"/>
    <mergeCell ref="HHQ7:HHW7"/>
    <mergeCell ref="WBV7:WCB7"/>
    <mergeCell ref="VFF7:VFL7"/>
    <mergeCell ref="SXL7:SXR7"/>
    <mergeCell ref="QOI7:QOO7"/>
    <mergeCell ref="WYZ7:WZF7"/>
    <mergeCell ref="QJT7:QJZ7"/>
    <mergeCell ref="OAQ7:OAW7"/>
    <mergeCell ref="UZO7:UZU7"/>
    <mergeCell ref="NWB7:NWH7"/>
    <mergeCell ref="GYM7:GYS7"/>
    <mergeCell ref="ZO7:ZU7"/>
    <mergeCell ref="LMY7:LNE7"/>
    <mergeCell ref="EPJ7:EPP7"/>
    <mergeCell ref="EKU7:ELA7"/>
    <mergeCell ref="CBR7:CBX7"/>
    <mergeCell ref="JAP7:JAV7"/>
    <mergeCell ref="BKZ7:BLF7"/>
    <mergeCell ref="NRM7:NRS7"/>
    <mergeCell ref="LDU7:LEA7"/>
    <mergeCell ref="SCS7:SCY7"/>
    <mergeCell ref="PTP7:PTV7"/>
    <mergeCell ref="KIN7:KIT7"/>
    <mergeCell ref="PPA7:PPG7"/>
    <mergeCell ref="OYI7:OYO7"/>
    <mergeCell ref="MPF7:MPL7"/>
    <mergeCell ref="HUV7:HVB7"/>
    <mergeCell ref="MKQ7:MKW7"/>
    <mergeCell ref="BFP7:BFV7"/>
    <mergeCell ref="FVK7:FVQ7"/>
    <mergeCell ref="VMT7:VMZ7"/>
    <mergeCell ref="TDQ7:TDW7"/>
    <mergeCell ref="SZB7:SZH7"/>
    <mergeCell ref="MBM7:MBS7"/>
    <mergeCell ref="UXK7:UXQ7"/>
    <mergeCell ref="QPY7:QQE7"/>
    <mergeCell ref="JSJ7:JSP7"/>
    <mergeCell ref="JNU7:JOA7"/>
    <mergeCell ref="HER7:HEX7"/>
    <mergeCell ref="ODP7:ODV7"/>
    <mergeCell ref="CYO7:CYU7"/>
    <mergeCell ref="AKW7:ALC7"/>
    <mergeCell ref="WJC7:WJI7"/>
    <mergeCell ref="PLN7:PLT7"/>
    <mergeCell ref="RSF7:RSL7"/>
    <mergeCell ref="MXV7:MYB7"/>
    <mergeCell ref="PPH7:PPN7"/>
    <mergeCell ref="BSU7:BTA7"/>
    <mergeCell ref="RNQ7:RNW7"/>
    <mergeCell ref="GIP7:GIV7"/>
    <mergeCell ref="BOF7:BOL7"/>
    <mergeCell ref="FC7:FI7"/>
    <mergeCell ref="DUX7:DVD7"/>
    <mergeCell ref="TMG7:TMM7"/>
    <mergeCell ref="PGD7:PGJ7"/>
    <mergeCell ref="SQZ7:SRF7"/>
    <mergeCell ref="MSL7:MSR7"/>
    <mergeCell ref="QHW7:QIC7"/>
    <mergeCell ref="VOJ7:VOP7"/>
    <mergeCell ref="OQU7:ORA7"/>
    <mergeCell ref="DLT7:DLZ7"/>
    <mergeCell ref="MHR7:MHX7"/>
    <mergeCell ref="TGP7:TGV7"/>
    <mergeCell ref="UTC7:UTI7"/>
    <mergeCell ref="JOB7:JOH7"/>
    <mergeCell ref="CQM7:CQS7"/>
    <mergeCell ref="AYB7:AYH7"/>
    <mergeCell ref="AHJ7:AHP7"/>
    <mergeCell ref="FNW7:FOC7"/>
    <mergeCell ref="ACU7:ADA7"/>
    <mergeCell ref="UON7:UOT7"/>
    <mergeCell ref="NLA7:NLG7"/>
    <mergeCell ref="UJY7:UKE7"/>
    <mergeCell ref="QCM7:QCS7"/>
    <mergeCell ref="SAV7:SBB7"/>
    <mergeCell ref="USH7:USN7"/>
    <mergeCell ref="NUS7:NUY7"/>
    <mergeCell ref="GVU7:GWA7"/>
    <mergeCell ref="WQQ7:WQW7"/>
    <mergeCell ref="LLP7:LLV7"/>
    <mergeCell ref="RWG7:RWM7"/>
    <mergeCell ref="GRF7:GRL7"/>
    <mergeCell ref="KGQ7:KGW7"/>
    <mergeCell ref="PND7:PNJ7"/>
    <mergeCell ref="WMB7:WMH7"/>
    <mergeCell ref="LHA7:LHG7"/>
    <mergeCell ref="EIC7:EII7"/>
    <mergeCell ref="IXX7:IYD7"/>
    <mergeCell ref="ITI7:ITO7"/>
    <mergeCell ref="BVT7:BVZ7"/>
    <mergeCell ref="MQ7:MW7"/>
    <mergeCell ref="IB7:IH7"/>
    <mergeCell ref="RVL7:RVR7"/>
    <mergeCell ref="VKW7:VLC7"/>
    <mergeCell ref="TTU7:TUA7"/>
    <mergeCell ref="WLG7:WLM7"/>
    <mergeCell ref="IOT7:IOZ7"/>
    <mergeCell ref="KBG7:KBM7"/>
    <mergeCell ref="LZP7:LZV7"/>
    <mergeCell ref="ORB7:ORH7"/>
    <mergeCell ref="HSD7:HSJ7"/>
    <mergeCell ref="HTM7:HTS7"/>
    <mergeCell ref="GBB7:GBH7"/>
    <mergeCell ref="QPK7:QPQ7"/>
    <mergeCell ref="FKJ7:FKP7"/>
    <mergeCell ref="KQW7:KRC7"/>
    <mergeCell ref="FFU7:FGA7"/>
    <mergeCell ref="OBS7:OBY7"/>
    <mergeCell ref="CWR7:CWX7"/>
    <mergeCell ref="JVP7:JVV7"/>
    <mergeCell ref="CSC7:CSI7"/>
    <mergeCell ref="AIZ7:AJF7"/>
    <mergeCell ref="SOA7:SOG7"/>
    <mergeCell ref="XDV7:XEB7"/>
    <mergeCell ref="WZG7:WZM7"/>
    <mergeCell ref="LUF7:LUL7"/>
    <mergeCell ref="PJQ7:PJW7"/>
    <mergeCell ref="UQD7:UQJ7"/>
    <mergeCell ref="NSO7:NSU7"/>
    <mergeCell ref="QKA7:QKG7"/>
    <mergeCell ref="JLC7:JLI7"/>
    <mergeCell ref="CNN7:CNT7"/>
    <mergeCell ref="OAX7:OBD7"/>
    <mergeCell ref="BQX7:BRD7"/>
    <mergeCell ref="NWI7:NWO7"/>
    <mergeCell ref="GYT7:GYZ7"/>
    <mergeCell ref="RLT7:RLZ7"/>
    <mergeCell ref="ZV7:AAB7"/>
    <mergeCell ref="JD7:JJ7"/>
    <mergeCell ref="EPQ7:EPW7"/>
    <mergeCell ref="ELB7:ELH7"/>
    <mergeCell ref="BLG7:BLM7"/>
    <mergeCell ref="PEG7:PEM7"/>
    <mergeCell ref="RCP7:RCV7"/>
    <mergeCell ref="TUB7:TUH7"/>
    <mergeCell ref="LEB7:LEH7"/>
    <mergeCell ref="VSK7:VSQ7"/>
    <mergeCell ref="PTW7:PUC7"/>
    <mergeCell ref="OOX7:OPD7"/>
    <mergeCell ref="RGJ7:RGP7"/>
    <mergeCell ref="KIU7:KJA7"/>
    <mergeCell ref="DJW7:DKC7"/>
    <mergeCell ref="DT7:DZ7"/>
    <mergeCell ref="TES7:TEY7"/>
    <mergeCell ref="HZR7:HZX7"/>
    <mergeCell ref="HVC7:HVI7"/>
    <mergeCell ref="FLZ7:FMF7"/>
    <mergeCell ref="BFW7:BGC7"/>
    <mergeCell ref="A7:G7"/>
    <mergeCell ref="VDI7:VDO7"/>
    <mergeCell ref="QXF7:QXL7"/>
    <mergeCell ref="UMQ7:UMW7"/>
    <mergeCell ref="SVO7:SVU7"/>
    <mergeCell ref="VNA7:VNG7"/>
    <mergeCell ref="OJN7:OJT7"/>
    <mergeCell ref="GTX7:GUD7"/>
    <mergeCell ref="NSV7:NTB7"/>
    <mergeCell ref="SZI7:SZO7"/>
    <mergeCell ref="FCV7:FDB7"/>
    <mergeCell ref="WOT7:WOZ7"/>
    <mergeCell ref="JSQ7:JSW7"/>
    <mergeCell ref="LFD7:LFJ7"/>
    <mergeCell ref="IWA7:IWG7"/>
    <mergeCell ref="BYL7:BYR7"/>
    <mergeCell ref="GOG7:GOM7"/>
    <mergeCell ref="KT7:KZ7"/>
    <mergeCell ref="UHG7:UHM7"/>
    <mergeCell ref="WFP7:WFV7"/>
    <mergeCell ref="TRX7:TSD7"/>
    <mergeCell ref="WJJ7:WJP7"/>
    <mergeCell ref="PLU7:PMA7"/>
    <mergeCell ref="IMW7:INC7"/>
    <mergeCell ref="NCR7:NCX7"/>
    <mergeCell ref="IIH7:IIN7"/>
    <mergeCell ref="FZE7:FZK7"/>
    <mergeCell ref="MYC7:MYI7"/>
    <mergeCell ref="BTB7:BTH7"/>
    <mergeCell ref="BP7:BV7"/>
    <mergeCell ref="KOZ7:KPF7"/>
    <mergeCell ref="DRK7:DRQ7"/>
    <mergeCell ref="GIW7:GJC7"/>
    <mergeCell ref="FDX7:FED7"/>
    <mergeCell ref="FJ7:FP7"/>
    <mergeCell ref="BDS7:BDY7"/>
    <mergeCell ref="WAF7:WAL7"/>
    <mergeCell ref="TMN7:TMT7"/>
    <mergeCell ref="XBY7:XCE7"/>
    <mergeCell ref="LWX7:LXD7"/>
    <mergeCell ref="SVV7:SWB7"/>
    <mergeCell ref="KFV7:KGB7"/>
    <mergeCell ref="QID7:QIJ7"/>
    <mergeCell ref="JKO7:JKU7"/>
    <mergeCell ref="DMA7:DMG7"/>
    <mergeCell ref="NZA7:NZG7"/>
    <mergeCell ref="HBL7:HBR7"/>
    <mergeCell ref="XY7:YE7"/>
    <mergeCell ref="GWW7:GXC7"/>
    <mergeCell ref="AYI7:AYO7"/>
    <mergeCell ref="ENT7:ENZ7"/>
    <mergeCell ref="LMR7:LMX7"/>
    <mergeCell ref="AHQ7:AHW7"/>
    <mergeCell ref="UFC7:UFI7"/>
    <mergeCell ref="WWO7:WWU7"/>
    <mergeCell ref="NPW7:NQC7"/>
    <mergeCell ref="UOU7:UPA7"/>
    <mergeCell ref="SFR7:SFX7"/>
    <mergeCell ref="NLH7:NLN7"/>
    <mergeCell ref="WHF7:WHL7"/>
    <mergeCell ref="LCE7:LCK7"/>
    <mergeCell ref="SBC7:SBI7"/>
    <mergeCell ref="GWB7:GWH7"/>
    <mergeCell ref="EEP7:EEV7"/>
    <mergeCell ref="PRZ7:PSF7"/>
    <mergeCell ref="KGX7:KHD7"/>
    <mergeCell ref="PNK7:PNQ7"/>
    <mergeCell ref="IPV7:IQB7"/>
    <mergeCell ref="EIJ7:EIP7"/>
    <mergeCell ref="HXU7:HYA7"/>
    <mergeCell ref="BAF7:BAL7"/>
    <mergeCell ref="GGS7:GGY7"/>
    <mergeCell ref="MJA7:MJG7"/>
    <mergeCell ref="MX7:ND7"/>
    <mergeCell ref="DCI7:DCO7"/>
    <mergeCell ref="TZS7:TZY7"/>
    <mergeCell ref="PIV7:PJB7"/>
    <mergeCell ref="QVI7:QVO7"/>
    <mergeCell ref="VLD7:VLJ7"/>
    <mergeCell ref="ONO7:ONU7"/>
    <mergeCell ref="TCA7:TCG7"/>
    <mergeCell ref="MEL7:MER7"/>
    <mergeCell ref="A3:G3"/>
    <mergeCell ref="FAY7:FBE7"/>
    <mergeCell ref="LZW7:MAC7"/>
    <mergeCell ref="AUV7:AVB7"/>
    <mergeCell ref="GBI7:GBO7"/>
    <mergeCell ref="JQT7:JQZ7"/>
    <mergeCell ref="QPR7:QPX7"/>
    <mergeCell ref="JME7:JMK7"/>
    <mergeCell ref="HDB7:HDH7"/>
    <mergeCell ref="AFM7:AFS7"/>
    <mergeCell ref="CWY7:CXE7"/>
    <mergeCell ref="A5:G5"/>
    <mergeCell ref="SSW7:STC7"/>
    <mergeCell ref="SOH7:SON7"/>
    <mergeCell ref="QFE7:QFK7"/>
    <mergeCell ref="XEC7:XEI7"/>
    <mergeCell ref="JHP7:JHV7"/>
    <mergeCell ref="UUZ7:UVF7"/>
    <mergeCell ref="PJX7:PKD7"/>
    <mergeCell ref="UQK7:UQQ7"/>
    <mergeCell ref="GDF7:GDL7"/>
    <mergeCell ref="LJS7:LJY7"/>
    <mergeCell ref="BRE7:BRK7"/>
    <mergeCell ref="AAC7:AAI7"/>
    <mergeCell ref="RMA7:RMG7"/>
    <mergeCell ref="DPN7:DPT7"/>
    <mergeCell ref="EPX7:EQD7"/>
    <mergeCell ref="IFI7:IFO7"/>
    <mergeCell ref="BBV7:BCB7"/>
    <mergeCell ref="VYI7:VYO7"/>
    <mergeCell ref="A16:G16"/>
    <mergeCell ref="RCW7:RDC7"/>
    <mergeCell ref="FXV7:FYB7"/>
    <mergeCell ref="OTT7:OTZ7"/>
    <mergeCell ref="OPE7:OPK7"/>
    <mergeCell ref="DKD7:DKJ7"/>
    <mergeCell ref="A18:G18"/>
    <mergeCell ref="MGB7:MGH7"/>
    <mergeCell ref="FIM7:FIS7"/>
    <mergeCell ref="HZY7:IAE7"/>
    <mergeCell ref="COW7:CPC7"/>
    <mergeCell ref="AWL7:AWR7"/>
    <mergeCell ref="CUU7:CVA7"/>
    <mergeCell ref="ABE7:ABK7"/>
    <mergeCell ref="VDP7:VDV7"/>
    <mergeCell ref="UMX7:UND7"/>
    <mergeCell ref="RZF7:RZL7"/>
    <mergeCell ref="GUE7:GUK7"/>
    <mergeCell ref="FDC7:FDI7"/>
    <mergeCell ref="WPA7:WPG7"/>
    <mergeCell ref="BYS7:BYY7"/>
    <mergeCell ref="PP7:PV7"/>
    <mergeCell ref="LA7:LG7"/>
    <mergeCell ref="UHN7:UHT7"/>
    <mergeCell ref="WFW7:WGC7"/>
    <mergeCell ref="TWT7:TWZ7"/>
    <mergeCell ref="PCJ7:PCP7"/>
    <mergeCell ref="RTV7:RUB7"/>
    <mergeCell ref="DXI7:DXO7"/>
    <mergeCell ref="TSE7:TSK7"/>
    <mergeCell ref="IND7:INJ7"/>
    <mergeCell ref="NCY7:NDE7"/>
    <mergeCell ref="ASY7:ATE7"/>
    <mergeCell ref="HRW7:HSC7"/>
    <mergeCell ref="FZL7:FZR7"/>
    <mergeCell ref="BW7:CC7"/>
    <mergeCell ref="FEE7:FEK7"/>
    <mergeCell ref="CVB7:CVH7"/>
    <mergeCell ref="XCF7:XCL7"/>
    <mergeCell ref="LXE7:LXK7"/>
    <mergeCell ref="SWC7:SWI7"/>
    <mergeCell ref="KGC7:KGI7"/>
    <mergeCell ref="JBD7:JBJ7"/>
    <mergeCell ref="LSP7:LSV7"/>
    <mergeCell ref="JJM7:JJS7"/>
    <mergeCell ref="QIK7:QIQ7"/>
    <mergeCell ref="JKV7:JLB7"/>
    <mergeCell ref="CLX7:CMD7"/>
    <mergeCell ref="HBS7:HBY7"/>
    <mergeCell ref="CHI7:CHO7"/>
    <mergeCell ref="ESP7:ESV7"/>
    <mergeCell ref="YF7:YL7"/>
    <mergeCell ref="GXD7:GXJ7"/>
    <mergeCell ref="EOA7:EOG7"/>
    <mergeCell ref="EJL7:EJR7"/>
    <mergeCell ref="UFJ7:UFP7"/>
    <mergeCell ref="JAI7:JAO7"/>
    <mergeCell ref="PZG7:PZM7"/>
    <mergeCell ref="TOR7:TOX7"/>
    <mergeCell ref="NQD7:NQJ7"/>
    <mergeCell ref="IVT7:IVZ7"/>
    <mergeCell ref="GMQ7:GMW7"/>
    <mergeCell ref="NLO7:NLU7"/>
    <mergeCell ref="RAZ7:RBF7"/>
    <mergeCell ref="FVY7:FWE7"/>
    <mergeCell ref="MUW7:MVC7"/>
    <mergeCell ref="LCL7:LCR7"/>
    <mergeCell ref="EEW7:EFC7"/>
    <mergeCell ref="VQU7:VRA7"/>
    <mergeCell ref="FRJ7:FRP7"/>
    <mergeCell ref="DIG7:DIM7"/>
    <mergeCell ref="KHE7:KHK7"/>
    <mergeCell ref="HYB7:HYH7"/>
    <mergeCell ref="OWZ7:OXF7"/>
    <mergeCell ref="BAM7:BAS7"/>
    <mergeCell ref="OED7:OEJ7"/>
    <mergeCell ref="QVP7:QVV7"/>
    <mergeCell ref="STY7:SUE7"/>
    <mergeCell ref="VLK7:VLQ7"/>
    <mergeCell ref="HOX7:HPD7"/>
    <mergeCell ref="ALK7:ALQ7"/>
    <mergeCell ref="HKI7:HKO7"/>
    <mergeCell ref="QGG7:QGM7"/>
    <mergeCell ref="FBF7:FBL7"/>
    <mergeCell ref="MAD7:MAJ7"/>
    <mergeCell ref="AVC7:AVI7"/>
    <mergeCell ref="JRA7:JRG7"/>
    <mergeCell ref="JML7:JMR7"/>
    <mergeCell ref="BWV7:BXB7"/>
    <mergeCell ref="AFT7:AFZ7"/>
    <mergeCell ref="VCG7:VCM7"/>
    <mergeCell ref="NYT7:NYZ7"/>
    <mergeCell ref="SOO7:SOU7"/>
    <mergeCell ref="WDZ7:WEF7"/>
    <mergeCell ref="KYY7:KZE7"/>
    <mergeCell ref="RXW7:RYC7"/>
    <mergeCell ref="XEJ7:XEP7"/>
    <mergeCell ref="KUJ7:KUP7"/>
    <mergeCell ref="QAW7:QBC7"/>
    <mergeCell ref="TQH7:TQN7"/>
    <mergeCell ref="ILG7:ILM7"/>
    <mergeCell ref="PKE7:PKK7"/>
    <mergeCell ref="EFD7:EFJ7"/>
    <mergeCell ref="NBB7:NBH7"/>
    <mergeCell ref="TZZ7:UAF7"/>
    <mergeCell ref="MWM7:MWS7"/>
    <mergeCell ref="BRL7:BRR7"/>
    <mergeCell ref="Z7:AF7"/>
    <mergeCell ref="DPU7:DQA7"/>
    <mergeCell ref="BCC7:BCI7"/>
    <mergeCell ref="THD7:THJ7"/>
    <mergeCell ref="VYP7:VYV7"/>
    <mergeCell ref="MRX7:MSD7"/>
    <mergeCell ref="FOK7:FOQ7"/>
    <mergeCell ref="MNI7:MNO7"/>
    <mergeCell ref="VJG7:VJM7"/>
    <mergeCell ref="KEF7:KEL7"/>
    <mergeCell ref="RDD7:RDJ7"/>
    <mergeCell ref="OUA7:OUG7"/>
    <mergeCell ref="JZQ7:JZW7"/>
    <mergeCell ref="CKA7:CKG7"/>
    <mergeCell ref="HQN7:HQT7"/>
    <mergeCell ref="OPL7:OPR7"/>
    <mergeCell ref="DKK7:DKQ7"/>
    <mergeCell ref="GZV7:HAB7"/>
    <mergeCell ref="FIT7:FIZ7"/>
    <mergeCell ref="AWS7:AWY7"/>
    <mergeCell ref="EMD7:EMJ7"/>
    <mergeCell ref="QBY7:QCE7"/>
    <mergeCell ref="PXJ7:PXP7"/>
    <mergeCell ref="VDW7:VEC7"/>
    <mergeCell ref="NOG7:NOM7"/>
    <mergeCell ref="UNE7:UNK7"/>
    <mergeCell ref="JID7:JIJ7"/>
    <mergeCell ref="SEB7:SEH7"/>
    <mergeCell ref="CEQ7:CEW7"/>
    <mergeCell ref="RZM7:RZS7"/>
    <mergeCell ref="GUL7:GUR7"/>
    <mergeCell ref="ECZ7:EDF7"/>
    <mergeCell ref="ISU7:ITA7"/>
    <mergeCell ref="BPH7:BPN7"/>
    <mergeCell ref="EGT7:EGZ7"/>
    <mergeCell ref="GFC7:GFI7"/>
    <mergeCell ref="BYZ7:BZF7"/>
    <mergeCell ref="KRK7:KRQ7"/>
    <mergeCell ref="RQI7:RQO7"/>
    <mergeCell ref="PHF7:PHL7"/>
    <mergeCell ref="TXA7:TXG7"/>
    <mergeCell ref="PCQ7:PCW7"/>
    <mergeCell ref="DXP7:DXV7"/>
    <mergeCell ref="HNA7:HNG7"/>
    <mergeCell ref="OLY7:OME7"/>
    <mergeCell ref="TSL7:TSR7"/>
    <mergeCell ref="MTN7:MTT7"/>
    <mergeCell ref="INK7:INQ7"/>
    <mergeCell ref="MCV7:MDB7"/>
    <mergeCell ref="BJX7:BKD7"/>
    <mergeCell ref="LYG7:LYM7"/>
    <mergeCell ref="ATF7:ATL7"/>
    <mergeCell ref="FZS7:FZY7"/>
    <mergeCell ref="CD7:CJ7"/>
    <mergeCell ref="JPD7:JPJ7"/>
    <mergeCell ref="QOB7:QOH7"/>
    <mergeCell ref="CVI7:CVO7"/>
    <mergeCell ref="VEY7:VFE7"/>
    <mergeCell ref="VAJ7:VAP7"/>
    <mergeCell ref="SRG7:SRM7"/>
    <mergeCell ref="SMR7:SMX7"/>
    <mergeCell ref="QDO7:QDU7"/>
    <mergeCell ref="XCM7:XCS7"/>
    <mergeCell ref="JFZ7:JGF7"/>
    <mergeCell ref="NVU7:NWA7"/>
    <mergeCell ref="JBK7:JBQ7"/>
    <mergeCell ref="GSH7:GSN7"/>
    <mergeCell ref="NRF7:NRL7"/>
    <mergeCell ref="CME7:CMK7"/>
    <mergeCell ref="GBP7:GBV7"/>
    <mergeCell ref="LIC7:LII7"/>
    <mergeCell ref="ADB7:ADH7"/>
    <mergeCell ref="LDN7:LDT7"/>
    <mergeCell ref="YM7:YS7"/>
    <mergeCell ref="DNX7:DOD7"/>
    <mergeCell ref="PUK7:PUQ7"/>
    <mergeCell ref="WTI7:WTO7"/>
    <mergeCell ref="UKF7:UKL7"/>
    <mergeCell ref="UFQ7:UFW7"/>
    <mergeCell ref="MQA7:MQG7"/>
    <mergeCell ref="TOY7:TPE7"/>
    <mergeCell ref="RWN7:RWT7"/>
    <mergeCell ref="RFV7:RGB7"/>
    <mergeCell ref="MLL7:MLR7"/>
    <mergeCell ref="KCI7:KCO7"/>
    <mergeCell ref="RBG7:RBM7"/>
    <mergeCell ref="FWF7:FWL7"/>
    <mergeCell ref="DET7:DEZ7"/>
    <mergeCell ref="OSD7:OSJ7"/>
    <mergeCell ref="VRB7:VRH7"/>
    <mergeCell ref="HUO7:HUU7"/>
    <mergeCell ref="ARB7:ARH7"/>
    <mergeCell ref="DIN7:DIT7"/>
    <mergeCell ref="FGW7:FHC7"/>
    <mergeCell ref="HYI7:HYO7"/>
    <mergeCell ref="VGO7:VGU7"/>
    <mergeCell ref="OIZ7:OJF7"/>
    <mergeCell ref="HFM7:HFS7"/>
    <mergeCell ref="OEK7:OEQ7"/>
    <mergeCell ref="XAI7:XAO7"/>
    <mergeCell ref="LVH7:LVN7"/>
    <mergeCell ref="SUF7:SUL7"/>
    <mergeCell ref="HPE7:HPK7"/>
    <mergeCell ref="LEP7:LEV7"/>
    <mergeCell ref="QLC7:QLI7"/>
    <mergeCell ref="ALR7:ALX7"/>
    <mergeCell ref="UZ7:VF7"/>
    <mergeCell ref="FBM7:FBS7"/>
    <mergeCell ref="IQX7:IRD7"/>
    <mergeCell ref="BXC7:BXI7"/>
    <mergeCell ref="WZN7:WZT7"/>
    <mergeCell ref="WIV7:WJB7"/>
    <mergeCell ref="ROL7:ROR7"/>
    <mergeCell ref="WEG7:WEM7"/>
    <mergeCell ref="KZF7:KZL7"/>
    <mergeCell ref="IHT7:IHZ7"/>
    <mergeCell ref="TVD7:TVJ7"/>
    <mergeCell ref="DVS7:DVY7"/>
    <mergeCell ref="TQO7:TQU7"/>
    <mergeCell ref="ILN7:ILT7"/>
    <mergeCell ref="FUB7:FUH7"/>
    <mergeCell ref="BNY7:BOE7"/>
    <mergeCell ref="KJW7:KKC7"/>
    <mergeCell ref="NBI7:NBO7"/>
    <mergeCell ref="EV7:FB7"/>
    <mergeCell ref="AG7:AM7"/>
    <mergeCell ref="DQB7:DQH7"/>
    <mergeCell ref="TLZ7:TMF7"/>
    <mergeCell ref="UYM7:UYS7"/>
    <mergeCell ref="THK7:THQ7"/>
    <mergeCell ref="QYH7:QYN7"/>
    <mergeCell ref="VOC7:VOI7"/>
    <mergeCell ref="FOR7:FOX7"/>
    <mergeCell ref="OKP7:OKV7"/>
    <mergeCell ref="EXZ7:EYF7"/>
    <mergeCell ref="KEM7:KES7"/>
    <mergeCell ref="ETK7:ETQ7"/>
    <mergeCell ref="CKH7:CKN7"/>
    <mergeCell ref="HAC7:HAI7"/>
    <mergeCell ref="WRL7:WRR7"/>
    <mergeCell ref="QCF7:QCL7"/>
    <mergeCell ref="WMW7:WNC7"/>
    <mergeCell ref="IYS7:IYY7"/>
    <mergeCell ref="NON7:NOT7"/>
    <mergeCell ref="PMW7:PNC7"/>
    <mergeCell ref="SEI7:SEO7"/>
    <mergeCell ref="NL7:NR7"/>
    <mergeCell ref="LAV7:LBB7"/>
    <mergeCell ref="EDG7:EDM7"/>
    <mergeCell ref="BUD7:BUJ7"/>
    <mergeCell ref="ITB7:ITH7"/>
    <mergeCell ref="BPO7:BPU7"/>
    <mergeCell ref="AYW7:AZC7"/>
    <mergeCell ref="WBH7:WBN7"/>
    <mergeCell ref="KRR7:KRX7"/>
    <mergeCell ref="VGA7:VGG7"/>
    <mergeCell ref="KAZ7:KBF7"/>
    <mergeCell ref="PHM7:PHS7"/>
    <mergeCell ref="JWK7:JWQ7"/>
    <mergeCell ref="SSI7:SSO7"/>
    <mergeCell ref="HNH7:HNN7"/>
    <mergeCell ref="OMF7:OML7"/>
    <mergeCell ref="MDC7:MDI7"/>
    <mergeCell ref="HIS7:HIY7"/>
    <mergeCell ref="EZP7:EZV7"/>
    <mergeCell ref="LYN7:LYT7"/>
    <mergeCell ref="ATM7:ATS7"/>
    <mergeCell ref="CRV7:CSB7"/>
    <mergeCell ref="AIS7:AIY7"/>
    <mergeCell ref="AED7:AEJ7"/>
    <mergeCell ref="SJE7:SJK7"/>
    <mergeCell ref="VAQ7:VAW7"/>
    <mergeCell ref="SRN7:SRT7"/>
    <mergeCell ref="SMY7:SNE7"/>
    <mergeCell ref="LPJ7:LPP7"/>
    <mergeCell ref="WCJ7:WCP7"/>
    <mergeCell ref="EQL7:EQR7"/>
    <mergeCell ref="ULH7:ULN7"/>
    <mergeCell ref="QDV7:QEB7"/>
    <mergeCell ref="JGG7:JGM7"/>
    <mergeCell ref="CCT7:CCZ7"/>
    <mergeCell ref="JBR7:JBX7"/>
    <mergeCell ref="BMB7:BMH7"/>
    <mergeCell ref="GSO7:GSU7"/>
    <mergeCell ref="GBW7:GCC7"/>
    <mergeCell ref="DOE7:DOK7"/>
    <mergeCell ref="UKM7:UKS7"/>
    <mergeCell ref="TFN7:TFT7"/>
    <mergeCell ref="VWZ7:VXF7"/>
    <mergeCell ref="OZK7:OZQ7"/>
    <mergeCell ref="MQH7:MQN7"/>
    <mergeCell ref="TPF7:TPL7"/>
    <mergeCell ref="RGC7:RGI7"/>
    <mergeCell ref="MLS7:MLY7"/>
    <mergeCell ref="BGR7:BGX7"/>
    <mergeCell ref="A20:G20"/>
    <mergeCell ref="VHQ7:VHW7"/>
    <mergeCell ref="KCP7:KCV7"/>
    <mergeCell ref="RBN7:RBT7"/>
    <mergeCell ref="FWM7:FWS7"/>
    <mergeCell ref="DFA7:DFG7"/>
    <mergeCell ref="ARI7:ARO7"/>
    <mergeCell ref="DIU7:DJA7"/>
    <mergeCell ref="A13:G13"/>
    <mergeCell ref="FHD7:FHJ7"/>
    <mergeCell ref="A15:G15"/>
    <mergeCell ref="TAD7:TAJ7"/>
    <mergeCell ref="JTL7:JTR7"/>
    <mergeCell ref="QSJ7:QSP7"/>
    <mergeCell ref="OJG7:OJM7"/>
    <mergeCell ref="PVT7:PVZ7"/>
    <mergeCell ref="OER7:OEX7"/>
    <mergeCell ref="CZQ7:CZW7"/>
    <mergeCell ref="GPB7:GPH7"/>
    <mergeCell ref="LVO7:LVU7"/>
    <mergeCell ref="LEW7:LFC7"/>
    <mergeCell ref="ALY7:AME7"/>
    <mergeCell ref="EBJ7:EBP7"/>
    <mergeCell ref="XEX7:XFA7"/>
    <mergeCell ref="VG7:VM7"/>
    <mergeCell ref="IRE7:IRK7"/>
    <mergeCell ref="BXJ7:BXP7"/>
    <mergeCell ref="UCK7:UCQ7"/>
    <mergeCell ref="RTH7:RTN7"/>
    <mergeCell ref="KPU7:KQA7"/>
    <mergeCell ref="ROS7:ROY7"/>
    <mergeCell ref="GJR7:GJX7"/>
    <mergeCell ref="PFP7:PFV7"/>
    <mergeCell ref="WEN7:WET7"/>
    <mergeCell ref="KZM7:KZS7"/>
    <mergeCell ref="IIA7:IIG7"/>
    <mergeCell ref="BEN7:BET7"/>
    <mergeCell ref="DVZ7:DWF7"/>
    <mergeCell ref="FUI7:FUO7"/>
    <mergeCell ref="ILU7:IMA7"/>
    <mergeCell ref="KKD7:KKJ7"/>
    <mergeCell ref="DGQ7:DGW7"/>
    <mergeCell ref="AN7:AT7"/>
    <mergeCell ref="OWL7:OWR7"/>
    <mergeCell ref="UYT7:UYZ7"/>
    <mergeCell ref="THR7:THX7"/>
    <mergeCell ref="ICQ7:ICW7"/>
    <mergeCell ref="SPQ7:SPW7"/>
    <mergeCell ref="LSB7:LSH7"/>
    <mergeCell ref="QYO7:QYU7"/>
    <mergeCell ref="LNM7:LNS7"/>
    <mergeCell ref="FOY7:FPE7"/>
    <mergeCell ref="XAW7:XBC7"/>
    <mergeCell ref="QDH7:QDN7"/>
    <mergeCell ref="JEJ7:JEP7"/>
    <mergeCell ref="KET7:KEZ7"/>
    <mergeCell ref="EYG7:EYM7"/>
    <mergeCell ref="NUE7:NUK7"/>
    <mergeCell ref="CPD7:CPJ7"/>
    <mergeCell ref="NPP7:NPV7"/>
    <mergeCell ref="CKO7:CKU7"/>
    <mergeCell ref="ABL7:ABR7"/>
    <mergeCell ref="HAJ7:HAP7"/>
    <mergeCell ref="WW7:XC7"/>
    <mergeCell ref="WWH7:WWN7"/>
    <mergeCell ref="PSU7:PTA7"/>
    <mergeCell ref="WRS7:WRY7"/>
    <mergeCell ref="UIP7:UIV7"/>
    <mergeCell ref="UEA7:UEG7"/>
    <mergeCell ref="NGL7:NGR7"/>
    <mergeCell ref="IYZ7:IZF7"/>
    <mergeCell ref="RUX7:RVD7"/>
    <mergeCell ref="KXI7:KXO7"/>
    <mergeCell ref="NOU7:NPA7"/>
    <mergeCell ref="SH7:SN7"/>
    <mergeCell ref="NS7:NY7"/>
    <mergeCell ref="QZQ7:QZW7"/>
    <mergeCell ref="IJQ7:IJW7"/>
    <mergeCell ref="PIO7:PIU7"/>
    <mergeCell ref="EDN7:EDT7"/>
    <mergeCell ref="DDD7:DDJ7"/>
    <mergeCell ref="HSY7:HTE7"/>
    <mergeCell ref="BUK7:BUQ7"/>
    <mergeCell ref="BPV7:BQB7"/>
    <mergeCell ref="TZL7:TZR7"/>
    <mergeCell ref="AZD7:AZJ7"/>
    <mergeCell ref="TCV7:TDB7"/>
    <mergeCell ref="QVB7:QVH7"/>
    <mergeCell ref="WBO7:WBU7"/>
    <mergeCell ref="QQM7:QQS7"/>
    <mergeCell ref="OHJ7:OHP7"/>
    <mergeCell ref="VGH7:VGN7"/>
    <mergeCell ref="PHT7:PHZ7"/>
    <mergeCell ref="SXE7:SXK7"/>
    <mergeCell ref="OCU7:ODA7"/>
    <mergeCell ref="CXT7:CXZ7"/>
    <mergeCell ref="LTR7:LTX7"/>
    <mergeCell ref="SSP7:SSV7"/>
    <mergeCell ref="HNO7:HNU7"/>
    <mergeCell ref="EWC7:EWI7"/>
    <mergeCell ref="AOQ7:AOW7"/>
    <mergeCell ref="JLX7:JMD7"/>
    <mergeCell ref="MDJ7:MDP7"/>
    <mergeCell ref="FEL7:FER7"/>
    <mergeCell ref="CIK7:CIQ7"/>
    <mergeCell ref="EZW7:FAC7"/>
    <mergeCell ref="UVU7:UWA7"/>
    <mergeCell ref="SJL7:SJR7"/>
    <mergeCell ref="WXX7:WYD7"/>
    <mergeCell ref="QAI7:QAO7"/>
    <mergeCell ref="GHU7:GIA7"/>
    <mergeCell ref="EQS7:EQY7"/>
    <mergeCell ref="WCQ7:WCW7"/>
    <mergeCell ref="NMQ7:NMW7"/>
    <mergeCell ref="ULO7:ULU7"/>
    <mergeCell ref="JGN7:JGT7"/>
    <mergeCell ref="IGD7:IGJ7"/>
    <mergeCell ref="MVY7:MWE7"/>
    <mergeCell ref="CHP7:CHV7"/>
    <mergeCell ref="GXK7:GXQ7"/>
    <mergeCell ref="FSL7:FSR7"/>
    <mergeCell ref="IJX7:IKD7"/>
    <mergeCell ref="BMI7:BMO7"/>
    <mergeCell ref="GSV7:GTB7"/>
    <mergeCell ref="TX7:UD7"/>
    <mergeCell ref="KIG7:KIM7"/>
    <mergeCell ref="DF7:DL7"/>
    <mergeCell ref="GCD7:GCJ7"/>
    <mergeCell ref="A4:G4"/>
    <mergeCell ref="OUO7:OUU7"/>
    <mergeCell ref="VTM7:VTS7"/>
    <mergeCell ref="TKJ7:TKP7"/>
    <mergeCell ref="TFU7:TGA7"/>
    <mergeCell ref="IAT7:IAZ7"/>
    <mergeCell ref="QWR7:QWX7"/>
    <mergeCell ref="JZC7:JZI7"/>
    <mergeCell ref="MQO7:MQU7"/>
    <mergeCell ref="FNB7:FNH7"/>
    <mergeCell ref="HLK7:HLQ7"/>
    <mergeCell ref="KCW7:KDC7"/>
    <mergeCell ref="DFH7:DFN7"/>
    <mergeCell ref="AWE7:AWK7"/>
    <mergeCell ref="ARP7:ARV7"/>
    <mergeCell ref="WPV7:WQB7"/>
    <mergeCell ref="LKU7:LLA7"/>
    <mergeCell ref="JTS7:JTY7"/>
    <mergeCell ref="NJD7:NJJ7"/>
    <mergeCell ref="RYY7:RZE7"/>
    <mergeCell ref="KVL7:KVR7"/>
    <mergeCell ref="NMX7:NND7"/>
    <mergeCell ref="GPI7:GPO7"/>
    <mergeCell ref="LVV7:LWB7"/>
    <mergeCell ref="QK7:QQ7"/>
    <mergeCell ref="PLG7:PLM7"/>
    <mergeCell ref="EGF7:EGL7"/>
    <mergeCell ref="LV7:MB7"/>
    <mergeCell ref="EBQ7:EBW7"/>
    <mergeCell ref="BSN7:BST7"/>
    <mergeCell ref="TSZ7:TTF7"/>
    <mergeCell ref="NDT7:NDZ7"/>
    <mergeCell ref="VZR7:VZX7"/>
    <mergeCell ref="PCC7:PCI7"/>
    <mergeCell ref="RTO7:RTU7"/>
    <mergeCell ref="VVC7:VVI7"/>
    <mergeCell ref="KQB7:KQH7"/>
    <mergeCell ref="DSM7:DSS7"/>
    <mergeCell ref="MOK7:MOQ7"/>
    <mergeCell ref="PFW7:PGC7"/>
    <mergeCell ref="BJJ7:BJP7"/>
    <mergeCell ref="JUU7:JVA7"/>
    <mergeCell ref="AOC7:AOI7"/>
    <mergeCell ref="FUP7:FUV7"/>
    <mergeCell ref="CQF7:CQL7"/>
    <mergeCell ref="QNU7:QOA7"/>
    <mergeCell ref="OWS7:OWY7"/>
    <mergeCell ref="QJF7:QJL7"/>
    <mergeCell ref="OAC7:OAI7"/>
    <mergeCell ref="SPX7:SQD7"/>
    <mergeCell ref="LSI7:LSO7"/>
    <mergeCell ref="UOG7:UOM7"/>
    <mergeCell ref="JJF7:JJL7"/>
    <mergeCell ref="EOV7:EPB7"/>
    <mergeCell ref="JEQ7:JEW7"/>
    <mergeCell ref="GVN7:GVT7"/>
    <mergeCell ref="CPK7:CPQ7"/>
    <mergeCell ref="GQY7:GRE7"/>
    <mergeCell ref="TJ7:TP7"/>
    <mergeCell ref="EJE7:EJK7"/>
    <mergeCell ref="SGT7:SGZ7"/>
    <mergeCell ref="LDG7:LDM7"/>
    <mergeCell ref="SCE7:SCK7"/>
    <mergeCell ref="VRP7:VRV7"/>
    <mergeCell ref="PTB7:PTH7"/>
    <mergeCell ref="IVM7:IVS7"/>
    <mergeCell ref="RRK7:RRQ7"/>
    <mergeCell ref="UIW7:UJC7"/>
    <mergeCell ref="GMJ7:GMP7"/>
    <mergeCell ref="HYW7:HZC7"/>
    <mergeCell ref="OXU7:OYA7"/>
    <mergeCell ref="MOR7:MOX7"/>
    <mergeCell ref="FRC7:FRI7"/>
    <mergeCell ref="KXP7:KXV7"/>
    <mergeCell ref="DYR7:DYX7"/>
    <mergeCell ref="BFB7:BFH7"/>
    <mergeCell ref="QZX7:RAD7"/>
    <mergeCell ref="DDK7:DDQ7"/>
    <mergeCell ref="HTF7:HTL7"/>
    <mergeCell ref="APS7:APY7"/>
    <mergeCell ref="VMF7:VML7"/>
    <mergeCell ref="UWW7:UXC7"/>
    <mergeCell ref="JRV7:JSB7"/>
    <mergeCell ref="QQT7:QQZ7"/>
    <mergeCell ref="FLS7:FLY7"/>
    <mergeCell ref="OHQ7:OHW7"/>
    <mergeCell ref="ODB7:ODH7"/>
    <mergeCell ref="CYA7:CYG7"/>
    <mergeCell ref="LTY7:LUE7"/>
    <mergeCell ref="EWJ7:EWP7"/>
    <mergeCell ref="CNG7:CNM7"/>
    <mergeCell ref="AKI7:AKO7"/>
    <mergeCell ref="CIR7:CIX7"/>
    <mergeCell ref="URM7:URS7"/>
    <mergeCell ref="NBW7:NCC7"/>
    <mergeCell ref="UAU7:UBA7"/>
    <mergeCell ref="RRR7:RRX7"/>
    <mergeCell ref="QAP7:QAV7"/>
    <mergeCell ref="RNC7:RNI7"/>
    <mergeCell ref="GIB7:GIH7"/>
    <mergeCell ref="PDZ7:PEF7"/>
    <mergeCell ref="WCX7:WDD7"/>
    <mergeCell ref="IGK7:IGQ7"/>
    <mergeCell ref="MWF7:MWL7"/>
    <mergeCell ref="FSS7:FSY7"/>
    <mergeCell ref="IKE7:IKK7"/>
    <mergeCell ref="BMP7:BMV7"/>
    <mergeCell ref="DM7:DS7"/>
    <mergeCell ref="OUV7:OVB7"/>
    <mergeCell ref="VTT7:VTZ7"/>
    <mergeCell ref="TKQ7:TKW7"/>
    <mergeCell ref="OQG7:OQM7"/>
    <mergeCell ref="MHD7:MHJ7"/>
    <mergeCell ref="TGB7:TGH7"/>
    <mergeCell ref="IBA7:IBG7"/>
    <mergeCell ref="LQL7:LQR7"/>
    <mergeCell ref="QWY7:QXE7"/>
    <mergeCell ref="JZJ7:JZP7"/>
    <mergeCell ref="FNI7:FNO7"/>
    <mergeCell ref="JCT7:JCZ7"/>
    <mergeCell ref="HLR7:HLX7"/>
    <mergeCell ref="CIY7:CJE7"/>
    <mergeCell ref="SEW7:SFC7"/>
    <mergeCell ref="WUR7:WUX7"/>
    <mergeCell ref="WQC7:WQI7"/>
    <mergeCell ref="PSN7:PST7"/>
    <mergeCell ref="LLB7:LLH7"/>
    <mergeCell ref="UGZ7:UHF7"/>
    <mergeCell ref="NJK7:NJQ7"/>
    <mergeCell ref="CEJ7:CEP7"/>
    <mergeCell ref="GFX7:GGD7"/>
    <mergeCell ref="BZU7:CAA7"/>
    <mergeCell ref="KVS7:KVY7"/>
    <mergeCell ref="NNE7:NNK7"/>
    <mergeCell ref="GPP7:GPV7"/>
    <mergeCell ref="QR7:QX7"/>
    <mergeCell ref="EGM7:EGS7"/>
    <mergeCell ref="MC7:MI7"/>
    <mergeCell ref="EBX7:ECD7"/>
    <mergeCell ref="TXV7:TYB7"/>
    <mergeCell ref="TTG7:TTM7"/>
    <mergeCell ref="RKD7:RKJ7"/>
    <mergeCell ref="NEA7:NEG7"/>
    <mergeCell ref="QTL7:QTR7"/>
    <mergeCell ref="VZY7:WAE7"/>
    <mergeCell ref="GAN7:GAT7"/>
    <mergeCell ref="QOW7:QPC7"/>
    <mergeCell ref="VVJ7:VVP7"/>
    <mergeCell ref="KQI7:KQO7"/>
    <mergeCell ref="DST7:DSZ7"/>
    <mergeCell ref="OFT7:OFZ7"/>
    <mergeCell ref="VER7:VEX7"/>
    <mergeCell ref="BJQ7:BJW7"/>
    <mergeCell ref="HLY7:HME7"/>
    <mergeCell ref="AOJ7:AOP7"/>
    <mergeCell ref="XDH7:XDN7"/>
    <mergeCell ref="UUE7:UUK7"/>
    <mergeCell ref="UVN7:UVT7"/>
    <mergeCell ref="SMK7:SMQ7"/>
    <mergeCell ref="NSA7:NSG7"/>
    <mergeCell ref="LIX7:LJD7"/>
    <mergeCell ref="SHV7:SIB7"/>
    <mergeCell ref="HCU7:HDA7"/>
    <mergeCell ref="PYS7:PYY7"/>
    <mergeCell ref="WXQ7:WXW7"/>
    <mergeCell ref="ETR7:ETX7"/>
    <mergeCell ref="PUD7:PUJ7"/>
    <mergeCell ref="EPC7:EPI7"/>
    <mergeCell ref="IEN7:IET7"/>
    <mergeCell ref="CFZ7:CGF7"/>
    <mergeCell ref="JEX7:JFD7"/>
    <mergeCell ref="BKS7:BKY7"/>
    <mergeCell ref="TQ7:TW7"/>
    <mergeCell ref="RXI7:RXO7"/>
    <mergeCell ref="WND7:WNJ7"/>
    <mergeCell ref="VWL7:VWR7"/>
    <mergeCell ref="OSY7:OTE7"/>
    <mergeCell ref="VRW7:VSC7"/>
    <mergeCell ref="TIT7:TIZ7"/>
    <mergeCell ref="MLE7:MLK7"/>
    <mergeCell ref="FHR7:FHX7"/>
    <mergeCell ref="HZD7:HZJ7"/>
    <mergeCell ref="JXM7:JXS7"/>
    <mergeCell ref="MOY7:MPE7"/>
    <mergeCell ref="DYY7:DZE7"/>
    <mergeCell ref="KXW7:KYC7"/>
    <mergeCell ref="ONH7:ONN7"/>
    <mergeCell ref="HJU7:HKA7"/>
    <mergeCell ref="DDR7:DDX7"/>
    <mergeCell ref="AUO7:AUU7"/>
    <mergeCell ref="APZ7:AQF7"/>
    <mergeCell ref="SVA7:SVG7"/>
    <mergeCell ref="QLX7:QMD7"/>
    <mergeCell ref="MFU7:MGA7"/>
    <mergeCell ref="PVF7:PVL7"/>
    <mergeCell ref="VBS7:VBY7"/>
    <mergeCell ref="FCH7:FCN7"/>
    <mergeCell ref="UXD7:UXJ7"/>
    <mergeCell ref="JSC7:JSI7"/>
    <mergeCell ref="NHN7:NHT7"/>
    <mergeCell ref="OHX7:OID7"/>
    <mergeCell ref="BXX7:BYD7"/>
    <mergeCell ref="HEK7:HEQ7"/>
    <mergeCell ref="OU7:PA7"/>
    <mergeCell ref="GNS7:GNY7"/>
    <mergeCell ref="EWQ7:EWW7"/>
    <mergeCell ref="EAA7:EAG7"/>
    <mergeCell ref="TVY7:TWE7"/>
    <mergeCell ref="KKR7:KKX7"/>
    <mergeCell ref="NCD7:NCJ7"/>
    <mergeCell ref="VYB7:VYH7"/>
    <mergeCell ref="PAM7:PAS7"/>
    <mergeCell ref="RRY7:RSE7"/>
    <mergeCell ref="DVL7:DVR7"/>
    <mergeCell ref="DQW7:DRC7"/>
    <mergeCell ref="MMU7:MNA7"/>
    <mergeCell ref="BHT7:BHZ7"/>
    <mergeCell ref="IGR7:IGX7"/>
    <mergeCell ref="FXO7:FXU7"/>
    <mergeCell ref="BDE7:BDK7"/>
    <mergeCell ref="FSZ7:FTF7"/>
    <mergeCell ref="VOX7:VPD7"/>
    <mergeCell ref="UYF7:UYL7"/>
    <mergeCell ref="KFH7:KFN7"/>
    <mergeCell ref="TBF7:TBL7"/>
    <mergeCell ref="OVC7:OVI7"/>
    <mergeCell ref="SKN7:SKT7"/>
    <mergeCell ref="TKX7:TLD7"/>
    <mergeCell ref="HAX7:HBD7"/>
    <mergeCell ref="MHK7:MHQ7"/>
    <mergeCell ref="PWV7:PXB7"/>
    <mergeCell ref="ERU7:ESA7"/>
    <mergeCell ref="LQS7:LQY7"/>
    <mergeCell ref="DAS7:DAY7"/>
    <mergeCell ref="JDA7:JDG7"/>
    <mergeCell ref="WI7:WO7"/>
    <mergeCell ref="PNR7:PNX7"/>
    <mergeCell ref="SFD7:SFJ7"/>
    <mergeCell ref="UDM7:UDS7"/>
    <mergeCell ref="WUY7:WVE7"/>
    <mergeCell ref="MZZ7:NAF7"/>
    <mergeCell ref="PRL7:PRR7"/>
    <mergeCell ref="ITW7:IUC7"/>
    <mergeCell ref="BUY7:BVE7"/>
    <mergeCell ref="RPU7:RQA7"/>
    <mergeCell ref="GKT7:GKZ7"/>
    <mergeCell ref="NJR7:NJX7"/>
    <mergeCell ref="LAO7:LAU7"/>
    <mergeCell ref="GGE7:GGK7"/>
    <mergeCell ref="FPM7:FPS7"/>
    <mergeCell ref="KVZ7:KWF7"/>
    <mergeCell ref="DXB7:DXH7"/>
    <mergeCell ref="QY7:RE7"/>
    <mergeCell ref="DBU7:DCA7"/>
    <mergeCell ref="ASR7:ASX7"/>
    <mergeCell ref="PIH7:PIN7"/>
    <mergeCell ref="TYC7:TYI7"/>
    <mergeCell ref="MDX7:MED7"/>
    <mergeCell ref="RKK7:RKQ7"/>
    <mergeCell ref="QTS7:QTY7"/>
    <mergeCell ref="IDS7:IDY7"/>
    <mergeCell ref="LZI7:LZO7"/>
    <mergeCell ref="JQF7:JQL7"/>
    <mergeCell ref="OGA7:OGG7"/>
    <mergeCell ref="HIL7:HIR7"/>
    <mergeCell ref="AJN7:AJT7"/>
    <mergeCell ref="EZI7:EZO7"/>
    <mergeCell ref="AEY7:AFE7"/>
    <mergeCell ref="EUT7:EUZ7"/>
    <mergeCell ref="CLQ7:CLW7"/>
    <mergeCell ref="CHB7:CHH7"/>
    <mergeCell ref="XDO7:XDU7"/>
    <mergeCell ref="UUL7:UUR7"/>
    <mergeCell ref="NWW7:NXC7"/>
    <mergeCell ref="WSU7:WTA7"/>
    <mergeCell ref="LNT7:LNZ7"/>
    <mergeCell ref="GTJ7:GTP7"/>
    <mergeCell ref="WOF7:WOL7"/>
    <mergeCell ref="LJE7:LJK7"/>
    <mergeCell ref="KSM7:KSS7"/>
    <mergeCell ref="PYZ7:PZF7"/>
    <mergeCell ref="JAB7:JAH7"/>
    <mergeCell ref="CCM7:CCS7"/>
    <mergeCell ref="DOZ7:DPF7"/>
    <mergeCell ref="IEU7:IFA7"/>
    <mergeCell ref="MUP7:MUV7"/>
    <mergeCell ref="RGX7:RHD7"/>
    <mergeCell ref="WNK7:WNQ7"/>
    <mergeCell ref="A6:G6"/>
    <mergeCell ref="VWS7:VWY7"/>
    <mergeCell ref="RCI7:RCO7"/>
    <mergeCell ref="OTF7:OTL7"/>
    <mergeCell ref="VSD7:VSJ7"/>
    <mergeCell ref="KNC7:KNI7"/>
    <mergeCell ref="TJA7:TJG7"/>
    <mergeCell ref="VHJ7:VHP7"/>
    <mergeCell ref="TEL7:TER7"/>
    <mergeCell ref="HZK7:HZQ7"/>
    <mergeCell ref="FHY7:FIE7"/>
    <mergeCell ref="JXT7:JXZ7"/>
    <mergeCell ref="HOQ7:HOW7"/>
    <mergeCell ref="HKB7:HKH7"/>
    <mergeCell ref="SZW7:TAC7"/>
    <mergeCell ref="LWJ7:LWP7"/>
    <mergeCell ref="SVH7:SVN7"/>
    <mergeCell ref="QME7:QMK7"/>
    <mergeCell ref="PVM7:PVS7"/>
    <mergeCell ref="VBZ7:VCF7"/>
    <mergeCell ref="FCO7:FCU7"/>
    <mergeCell ref="IRZ7:ISF7"/>
    <mergeCell ref="NYM7:NYS7"/>
    <mergeCell ref="NHU7:NIA7"/>
    <mergeCell ref="RXP7:RXV7"/>
    <mergeCell ref="BYE7:BYK7"/>
    <mergeCell ref="KUC7:KUI7"/>
    <mergeCell ref="PB7:PH7"/>
    <mergeCell ref="GNZ7:GOF7"/>
    <mergeCell ref="EAH7:EAN7"/>
    <mergeCell ref="WJX7:WKD7"/>
    <mergeCell ref="WFI7:WFO7"/>
    <mergeCell ref="TWF7:TWL7"/>
    <mergeCell ref="PQC7:PQI7"/>
    <mergeCell ref="IMP7:IMV7"/>
    <mergeCell ref="KKY7:KLE7"/>
    <mergeCell ref="NCK7:NCQ7"/>
    <mergeCell ref="PAT7:PAZ7"/>
    <mergeCell ref="HXG7:HXM7"/>
    <mergeCell ref="KOS7:KOY7"/>
    <mergeCell ref="DRD7:DRJ7"/>
    <mergeCell ref="MNB7:MNH7"/>
    <mergeCell ref="BIA7:BIG7"/>
    <mergeCell ref="DGJ7:DGP7"/>
    <mergeCell ref="BDL7:BDR7"/>
    <mergeCell ref="AMT7:AMZ7"/>
    <mergeCell ref="VPE7:VPK7"/>
    <mergeCell ref="KFO7:KFU7"/>
    <mergeCell ref="NUZ7:NVF7"/>
    <mergeCell ref="UTX7:UUD7"/>
    <mergeCell ref="TBM7:TBS7"/>
    <mergeCell ref="SKU7:SLA7"/>
    <mergeCell ref="HFT7:HFZ7"/>
    <mergeCell ref="XAP7:XAV7"/>
    <mergeCell ref="SGF7:SGL7"/>
    <mergeCell ref="HBE7:HBK7"/>
    <mergeCell ref="ACG7:ACM7"/>
    <mergeCell ref="PXC7:PXI7"/>
    <mergeCell ref="ESB7:ESH7"/>
    <mergeCell ref="LQZ7:LRF7"/>
    <mergeCell ref="ENM7:ENS7"/>
    <mergeCell ref="JDH7:JDN7"/>
    <mergeCell ref="CFS7:CFY7"/>
    <mergeCell ref="WP7:WV7"/>
    <mergeCell ref="SA7:SG7"/>
    <mergeCell ref="WLN7:WLT7"/>
    <mergeCell ref="PNY7:POE7"/>
    <mergeCell ref="SFK7:SFQ7"/>
    <mergeCell ref="UDT7:UDZ7"/>
    <mergeCell ref="WVF7:WVL7"/>
    <mergeCell ref="VQG7:VQM7"/>
    <mergeCell ref="NAG7:NAM7"/>
    <mergeCell ref="TZE7:TZK7"/>
    <mergeCell ref="PRS7:PRY7"/>
    <mergeCell ref="IUD7:IUJ7"/>
    <mergeCell ref="MJO7:MJU7"/>
    <mergeCell ref="RQB7:RQH7"/>
    <mergeCell ref="GLA7:GLG7"/>
    <mergeCell ref="BVF7:BVL7"/>
    <mergeCell ref="BQQ7:BQW7"/>
    <mergeCell ref="QZJ7:QZP7"/>
    <mergeCell ref="AZY7:BAE7"/>
    <mergeCell ref="GGL7:GGR7"/>
    <mergeCell ref="JVW7:JWC7"/>
    <mergeCell ref="FPT7:FPZ7"/>
    <mergeCell ref="DCB7:DCH7"/>
    <mergeCell ref="SXZ7:SYF7"/>
    <mergeCell ref="TYJ7:TYP7"/>
    <mergeCell ref="MIT7:MIZ7"/>
    <mergeCell ref="STK7:STQ7"/>
    <mergeCell ref="QKH7:QKN7"/>
    <mergeCell ref="JMS7:JMY7"/>
    <mergeCell ref="MEE7:MEK7"/>
    <mergeCell ref="RKR7:RKX7"/>
    <mergeCell ref="FFG7:FFM7"/>
    <mergeCell ref="VAC7:VAI7"/>
    <mergeCell ref="OCN7:OCT7"/>
    <mergeCell ref="QTZ7:QUF7"/>
    <mergeCell ref="JVB7:JVH7"/>
    <mergeCell ref="GZA7:GZG7"/>
    <mergeCell ref="JQM7:JQS7"/>
    <mergeCell ref="CSX7:CTD7"/>
    <mergeCell ref="LOV7:LPB7"/>
    <mergeCell ref="OGH7:OGN7"/>
    <mergeCell ref="HHJ7:HHP7"/>
    <mergeCell ref="AJU7:AKA7"/>
    <mergeCell ref="AFF7:AFL7"/>
    <mergeCell ref="EVA7:EVG7"/>
    <mergeCell ref="UQY7:URE7"/>
    <mergeCell ref="SDG7:SDM7"/>
    <mergeCell ref="NXD7:NXJ7"/>
    <mergeCell ref="RMO7:RMU7"/>
    <mergeCell ref="WTB7:WTH7"/>
    <mergeCell ref="LOA7:LOG7"/>
    <mergeCell ref="GHN7:GHT7"/>
    <mergeCell ref="KJB7:KJH7"/>
    <mergeCell ref="GCY7:GDE7"/>
    <mergeCell ref="LJL7:LJR7"/>
    <mergeCell ref="EKN7:EKT7"/>
    <mergeCell ref="OYW7:OZC7"/>
    <mergeCell ref="DTV7:DUB7"/>
    <mergeCell ref="KST7:KSZ7"/>
    <mergeCell ref="DPG7:DPM7"/>
    <mergeCell ref="BGD7:BGJ7"/>
    <mergeCell ref="IFB7:IFH7"/>
    <mergeCell ref="VNH7:VNN7"/>
    <mergeCell ref="OPS7:OPY7"/>
    <mergeCell ref="RHE7:RHK7"/>
    <mergeCell ref="A12:G12"/>
    <mergeCell ref="KDR7:KDX7"/>
    <mergeCell ref="MCA7:MCG7"/>
    <mergeCell ref="OTM7:OTS7"/>
    <mergeCell ref="HVX7:HWD7"/>
    <mergeCell ref="AWZ7:AXF7"/>
    <mergeCell ref="QRV7:QSB7"/>
    <mergeCell ref="TJH7:TJN7"/>
    <mergeCell ref="FMU7:FNA7"/>
    <mergeCell ref="ASK7:ASQ7"/>
    <mergeCell ref="A14:G14"/>
    <mergeCell ref="FIF7:FIL7"/>
    <mergeCell ref="CZC7:CZI7"/>
    <mergeCell ref="JYA7:JYG7"/>
    <mergeCell ref="CUN7:CUT7"/>
    <mergeCell ref="US7:UY7"/>
    <mergeCell ref="WPO7:WPU7"/>
    <mergeCell ref="PMB7:PMH7"/>
    <mergeCell ref="SDN7:SDT7"/>
    <mergeCell ref="LFY7:LGE7"/>
    <mergeCell ref="QML7:QMR7"/>
    <mergeCell ref="UBW7:UCC7"/>
    <mergeCell ref="IWV7:IXB7"/>
    <mergeCell ref="ISG7:ISM7"/>
    <mergeCell ref="ROE7:ROK7"/>
    <mergeCell ref="GJD7:GJJ7"/>
    <mergeCell ref="NIB7:NIH7"/>
    <mergeCell ref="CDA7:CDG7"/>
    <mergeCell ref="LO7:LU7"/>
    <mergeCell ref="PI7:PO7"/>
    <mergeCell ref="BNR7:BNX7"/>
    <mergeCell ref="WAM7:WAS7"/>
    <mergeCell ref="TSS7:TSY7"/>
    <mergeCell ref="WKE7:WKK7"/>
    <mergeCell ref="PGR7:PGX7"/>
    <mergeCell ref="RFA7:RFG7"/>
    <mergeCell ref="TWM7:TWS7"/>
    <mergeCell ref="FZZ7:GAF7"/>
    <mergeCell ref="VUV7:VVB7"/>
    <mergeCell ref="RIU7:RJA7"/>
    <mergeCell ref="KLF7:KLL7"/>
    <mergeCell ref="DMH7:DMN7"/>
    <mergeCell ref="GE7:GK7"/>
    <mergeCell ref="CVP7:CVV7"/>
    <mergeCell ref="ICC7:ICI7"/>
    <mergeCell ref="PBA7:PBG7"/>
    <mergeCell ref="CRA7:CRG7"/>
    <mergeCell ref="HXN7:HXT7"/>
    <mergeCell ref="AHX7:AID7"/>
    <mergeCell ref="HGV7:HHB7"/>
    <mergeCell ref="BIH7:BIN7"/>
    <mergeCell ref="EXS7:EXY7"/>
    <mergeCell ref="ETD7:ETJ7"/>
    <mergeCell ref="TNI7:TNO7"/>
    <mergeCell ref="UPB7:UPH7"/>
    <mergeCell ref="QIY7:QJE7"/>
    <mergeCell ref="VPL7:VPR7"/>
    <mergeCell ref="NZV7:OAB7"/>
    <mergeCell ref="GWI7:GWO7"/>
    <mergeCell ref="NVG7:NVM7"/>
    <mergeCell ref="WRE7:WRK7"/>
    <mergeCell ref="LMD7:LMJ7"/>
    <mergeCell ref="SLB7:SLH7"/>
    <mergeCell ref="HGA7:HGG7"/>
    <mergeCell ref="LHO7:LHU7"/>
    <mergeCell ref="EJZ7:EKF7"/>
    <mergeCell ref="ACN7:ACT7"/>
    <mergeCell ref="IYL7:IYR7"/>
    <mergeCell ref="CAW7:CBC7"/>
    <mergeCell ref="IZU7:JAA7"/>
    <mergeCell ref="ESI7:ESO7"/>
    <mergeCell ref="GQR7:GQX7"/>
    <mergeCell ref="BWH7:BWN7"/>
    <mergeCell ref="NE7:NK7"/>
    <mergeCell ref="GMC7:GMI7"/>
    <mergeCell ref="UJR7:UJX7"/>
    <mergeCell ref="WIA7:WIG7"/>
    <mergeCell ref="LCZ7:LDF7"/>
    <mergeCell ref="WLU7:WMA7"/>
    <mergeCell ref="POF7:POL7"/>
    <mergeCell ref="IPH7:IPN7"/>
    <mergeCell ref="HYP7:HYV7"/>
    <mergeCell ref="NFC7:NFI7"/>
    <mergeCell ref="HUA7:HUG7"/>
    <mergeCell ref="NAN7:NAT7"/>
    <mergeCell ref="BVM7:BVS7"/>
    <mergeCell ref="FKX7:FLD7"/>
    <mergeCell ref="MJV7:MKB7"/>
    <mergeCell ref="BEU7:BFA7"/>
    <mergeCell ref="GLH7:GLN7"/>
    <mergeCell ref="KAS7:KAY7"/>
    <mergeCell ref="FGI7:FGO7"/>
    <mergeCell ref="HU7:IA7"/>
    <mergeCell ref="CXF7:CXL7"/>
    <mergeCell ref="JWD7:JWJ7"/>
    <mergeCell ref="APL7:APR7"/>
  </mergeCells>
  <conditionalFormatting sqref="B24:C24">
    <cfRule type="duplicateValues" priority="134" dxfId="33"/>
  </conditionalFormatting>
  <conditionalFormatting sqref="A24">
    <cfRule type="duplicateValues" priority="1" dxfId="33"/>
  </conditionalFormatting>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R58"/>
  <sheetViews>
    <sheetView zoomScale="115" zoomScaleNormal="115" workbookViewId="0">
      <selection activeCell="A1" sqref="A1"/>
    </sheetView>
  </sheetViews>
  <sheetFormatPr baseColWidth="8" defaultColWidth="9" defaultRowHeight="12.75"/>
  <cols>
    <col width="18.125" bestFit="1" customWidth="1" style="61" min="1" max="1"/>
    <col width="6.625" bestFit="1" customWidth="1" style="62" min="2" max="2"/>
    <col width="37.375" bestFit="1" customWidth="1" style="62" min="3" max="3"/>
    <col width="10.375" customWidth="1" style="62" min="4" max="5"/>
    <col width="8.625" bestFit="1" customWidth="1" style="63" min="6" max="6"/>
    <col width="11.75" bestFit="1" customWidth="1" style="64" min="7" max="7"/>
    <col width="9.875" customWidth="1" style="128" min="8" max="8"/>
    <col width="10.75" bestFit="1" customWidth="1" style="129" min="9" max="9"/>
    <col width="9.875" customWidth="1" style="129" min="10" max="10"/>
    <col width="3.25" customWidth="1" style="62" min="11" max="11"/>
    <col width="38.125" bestFit="1" customWidth="1" style="62" min="12" max="12"/>
    <col width="8.625" bestFit="1" customWidth="1" style="62" min="13" max="14"/>
    <col width="9" customWidth="1" style="62" min="15" max="16384"/>
  </cols>
  <sheetData>
    <row r="1" ht="13.5" customHeight="1" s="124" thickBot="1"/>
    <row r="2" ht="26.25" customHeight="1" s="124" thickBot="1">
      <c r="A2" s="67" t="n">
        <v>1</v>
      </c>
      <c r="B2" s="56" t="inlineStr">
        <is>
          <t xml:space="preserve">96-well </t>
        </is>
      </c>
      <c r="C2" s="56" t="inlineStr">
        <is>
          <t>Sample Name</t>
        </is>
      </c>
      <c r="D2" s="57" t="inlineStr">
        <is>
          <t>Analyte Peak Area (counts)</t>
        </is>
      </c>
      <c r="E2" s="57" t="inlineStr">
        <is>
          <t>IS Peak Area (counts)</t>
        </is>
      </c>
      <c r="F2" s="58" t="inlineStr">
        <is>
          <t>Area Ratio</t>
        </is>
      </c>
      <c r="G2" s="56" t="inlineStr">
        <is>
          <t>Direction</t>
        </is>
      </c>
      <c r="H2" s="130" t="inlineStr">
        <is>
          <t>Well</t>
        </is>
      </c>
      <c r="I2" s="131" t="inlineStr">
        <is>
          <t>Papp
(1E-6 cm/s)</t>
        </is>
      </c>
      <c r="J2" s="132" t="inlineStr">
        <is>
          <t>Recovery
(%)</t>
        </is>
      </c>
      <c r="K2" s="64" t="n"/>
      <c r="L2" s="64" t="n"/>
      <c r="M2" s="64" t="n"/>
      <c r="N2" s="64" t="n"/>
    </row>
    <row r="3">
      <c r="A3" s="68" t="inlineStr">
        <is>
          <t>Metoprolol</t>
        </is>
      </c>
      <c r="B3" s="69" t="inlineStr">
        <is>
          <t>Wash</t>
        </is>
      </c>
      <c r="C3" s="70">
        <f>L5</f>
        <v/>
      </c>
      <c r="D3" s="71">
        <f>M5</f>
        <v/>
      </c>
      <c r="E3" s="71">
        <f>N5</f>
        <v/>
      </c>
      <c r="F3" s="72">
        <f>D3/E3</f>
        <v/>
      </c>
      <c r="G3" s="73" t="inlineStr">
        <is>
          <t>A-&gt;B-1</t>
        </is>
      </c>
      <c r="H3" s="133" t="n"/>
      <c r="I3" s="134">
        <f>0.235*F5/(0.143*F9*7200)*1000000</f>
        <v/>
      </c>
      <c r="J3" s="135">
        <f>(F7*0.075+F5*0.235)/0.075/F9*100</f>
        <v/>
      </c>
      <c r="K3" s="64" t="n"/>
      <c r="L3" s="64" t="n"/>
      <c r="M3" s="64" t="n"/>
      <c r="N3" s="64" t="n"/>
    </row>
    <row r="4">
      <c r="A4" s="68" t="n"/>
      <c r="B4" s="69" t="inlineStr">
        <is>
          <t>Blank</t>
        </is>
      </c>
      <c r="C4" s="70">
        <f>L6</f>
        <v/>
      </c>
      <c r="D4" s="71">
        <f>M6</f>
        <v/>
      </c>
      <c r="E4" s="71">
        <f>N6</f>
        <v/>
      </c>
      <c r="F4" s="72">
        <f>D4/E4</f>
        <v/>
      </c>
      <c r="G4" s="76" t="inlineStr">
        <is>
          <t>A-&gt;B-2</t>
        </is>
      </c>
      <c r="H4" s="136" t="n"/>
      <c r="I4" s="134">
        <f>0.235*F6/(0.143*F10*7200)*1000000</f>
        <v/>
      </c>
      <c r="J4" s="135">
        <f>(F8*0.075+F6*0.235)/0.075/F10*100</f>
        <v/>
      </c>
      <c r="K4" s="78" t="n"/>
      <c r="L4" s="79" t="inlineStr">
        <is>
          <t>ADME-MS34-Caco-2-20231215-wash</t>
        </is>
      </c>
      <c r="M4" s="80" t="n">
        <v>0</v>
      </c>
      <c r="N4" s="80" t="n">
        <v>0</v>
      </c>
    </row>
    <row r="5">
      <c r="A5" s="68" t="n"/>
      <c r="B5" s="69" t="inlineStr">
        <is>
          <t>B1</t>
        </is>
      </c>
      <c r="C5" s="70">
        <f>L7</f>
        <v/>
      </c>
      <c r="D5" s="71">
        <f>M7</f>
        <v/>
      </c>
      <c r="E5" s="71">
        <f>N7</f>
        <v/>
      </c>
      <c r="F5" s="72">
        <f>D5/E5</f>
        <v/>
      </c>
      <c r="G5" s="76" t="inlineStr">
        <is>
          <t>Ave</t>
        </is>
      </c>
      <c r="H5" s="136" t="n"/>
      <c r="I5" s="133">
        <f>AVERAGE(I3:I4)</f>
        <v/>
      </c>
      <c r="J5" s="137">
        <f>AVERAGE(J3:J4)</f>
        <v/>
      </c>
      <c r="K5" s="64" t="n"/>
      <c r="L5" s="79" t="inlineStr">
        <is>
          <t>ADME-MS34-Caco-2-20231215-wash</t>
        </is>
      </c>
      <c r="M5" s="80" t="n">
        <v>0</v>
      </c>
      <c r="N5" s="80" t="n">
        <v>439</v>
      </c>
    </row>
    <row r="6">
      <c r="A6" s="68" t="n"/>
      <c r="B6" s="69" t="inlineStr">
        <is>
          <t>B2</t>
        </is>
      </c>
      <c r="C6" s="70">
        <f>L8</f>
        <v/>
      </c>
      <c r="D6" s="71">
        <f>M8</f>
        <v/>
      </c>
      <c r="E6" s="71">
        <f>N8</f>
        <v/>
      </c>
      <c r="F6" s="72">
        <f>D6/E6</f>
        <v/>
      </c>
      <c r="G6" s="76" t="inlineStr">
        <is>
          <t>CV</t>
        </is>
      </c>
      <c r="H6" s="136" t="n"/>
      <c r="I6" s="134">
        <f>STDEV(I3:I4)/I5*100</f>
        <v/>
      </c>
      <c r="J6" s="135">
        <f>STDEV(J3:J4)/J5*100</f>
        <v/>
      </c>
      <c r="K6" s="78" t="n"/>
      <c r="L6" s="79" t="inlineStr">
        <is>
          <t>ADME-MS34-Caco-2-20231215-Blank</t>
        </is>
      </c>
      <c r="M6" s="80" t="n">
        <v>0</v>
      </c>
      <c r="N6" s="80" t="n">
        <v>150000</v>
      </c>
    </row>
    <row r="7">
      <c r="A7" s="68" t="n"/>
      <c r="B7" s="69" t="inlineStr">
        <is>
          <t>A1</t>
        </is>
      </c>
      <c r="C7" s="70">
        <f>L11</f>
        <v/>
      </c>
      <c r="D7" s="71">
        <f>M11</f>
        <v/>
      </c>
      <c r="E7" s="71">
        <f>N11</f>
        <v/>
      </c>
      <c r="F7" s="72">
        <f>D7/E7</f>
        <v/>
      </c>
      <c r="G7" s="76" t="n"/>
      <c r="H7" s="136" t="n"/>
      <c r="I7" s="134" t="n"/>
      <c r="J7" s="135" t="n"/>
      <c r="K7" s="64" t="n"/>
      <c r="L7" s="79" t="inlineStr">
        <is>
          <t>ADME-MS34-Caco-2-20231215-G6-M B1</t>
        </is>
      </c>
      <c r="M7" s="80" t="n">
        <v>1740000</v>
      </c>
      <c r="N7" s="80" t="n">
        <v>131000</v>
      </c>
    </row>
    <row r="8">
      <c r="A8" s="68" t="n"/>
      <c r="B8" s="69" t="inlineStr">
        <is>
          <t>A2</t>
        </is>
      </c>
      <c r="C8" s="70">
        <f>L12</f>
        <v/>
      </c>
      <c r="D8" s="71">
        <f>M12</f>
        <v/>
      </c>
      <c r="E8" s="71">
        <f>N12</f>
        <v/>
      </c>
      <c r="F8" s="72">
        <f>D8/E8</f>
        <v/>
      </c>
      <c r="G8" s="73" t="inlineStr">
        <is>
          <t>B-&gt;A-1</t>
        </is>
      </c>
      <c r="H8" s="133" t="n"/>
      <c r="I8" s="134">
        <f>0.075*F13/(0.143*F17*7200)*1000000</f>
        <v/>
      </c>
      <c r="J8" s="135">
        <f>(F13*0.075+F15*0.235)/0.235/F17*100</f>
        <v/>
      </c>
      <c r="K8" s="78" t="n"/>
      <c r="L8" s="79" t="inlineStr">
        <is>
          <t>ADME-MS34-Caco-2-20231215-G6-M B2</t>
        </is>
      </c>
      <c r="M8" s="80" t="n">
        <v>1680000</v>
      </c>
      <c r="N8" s="80" t="n">
        <v>138000</v>
      </c>
    </row>
    <row r="9">
      <c r="A9" s="68" t="n"/>
      <c r="B9" s="69" t="inlineStr">
        <is>
          <t>D0A1</t>
        </is>
      </c>
      <c r="C9" s="70">
        <f>L15</f>
        <v/>
      </c>
      <c r="D9" s="71">
        <f>M15</f>
        <v/>
      </c>
      <c r="E9" s="71">
        <f>N15</f>
        <v/>
      </c>
      <c r="F9" s="72">
        <f>D9/E9</f>
        <v/>
      </c>
      <c r="G9" s="76" t="inlineStr">
        <is>
          <t>B-&gt;A-2</t>
        </is>
      </c>
      <c r="H9" s="136" t="n"/>
      <c r="I9" s="134">
        <f>0.075*F14/(0.143*F18*7200)*1000000</f>
        <v/>
      </c>
      <c r="J9" s="135">
        <f>(F14*0.075+F16*0.235)/0.235/F18*100</f>
        <v/>
      </c>
      <c r="K9" s="64" t="n"/>
      <c r="L9" s="79" t="inlineStr">
        <is>
          <t>ADME-MS34-Caco-2-20231215-G6-M A1'</t>
        </is>
      </c>
      <c r="M9" s="80" t="n">
        <v>5950000</v>
      </c>
      <c r="N9" s="80" t="n">
        <v>136000</v>
      </c>
    </row>
    <row r="10">
      <c r="A10" s="68" t="n"/>
      <c r="B10" s="69" t="inlineStr">
        <is>
          <t>D0A2</t>
        </is>
      </c>
      <c r="C10" s="70">
        <f>L16</f>
        <v/>
      </c>
      <c r="D10" s="71">
        <f>M16</f>
        <v/>
      </c>
      <c r="E10" s="71">
        <f>N16</f>
        <v/>
      </c>
      <c r="F10" s="72">
        <f>D10/E10</f>
        <v/>
      </c>
      <c r="G10" s="76" t="inlineStr">
        <is>
          <t>Ave</t>
        </is>
      </c>
      <c r="H10" s="136" t="n"/>
      <c r="I10" s="133">
        <f>AVERAGE(I8:I9)</f>
        <v/>
      </c>
      <c r="J10" s="137">
        <f>AVERAGE(J8:J9)</f>
        <v/>
      </c>
      <c r="K10" s="78" t="n"/>
      <c r="L10" s="79" t="inlineStr">
        <is>
          <t>ADME-MS34-Caco-2-20231215-G6-M A2'</t>
        </is>
      </c>
      <c r="M10" s="80" t="n">
        <v>5560000</v>
      </c>
      <c r="N10" s="80" t="n">
        <v>134000</v>
      </c>
    </row>
    <row r="11">
      <c r="A11" s="68" t="n"/>
      <c r="B11" s="69" t="inlineStr">
        <is>
          <t>Wash</t>
        </is>
      </c>
      <c r="C11" s="70">
        <f>L5</f>
        <v/>
      </c>
      <c r="D11" s="71">
        <f>M5</f>
        <v/>
      </c>
      <c r="E11" s="71">
        <f>N5</f>
        <v/>
      </c>
      <c r="F11" s="72">
        <f>D11/E11</f>
        <v/>
      </c>
      <c r="G11" s="76" t="inlineStr">
        <is>
          <t>CV</t>
        </is>
      </c>
      <c r="H11" s="136" t="n"/>
      <c r="I11" s="134">
        <f>STDEV(I8:I9)/I10*100</f>
        <v/>
      </c>
      <c r="J11" s="135">
        <f>STDEV(J8:J9)/J10*100</f>
        <v/>
      </c>
      <c r="K11" s="64" t="n"/>
      <c r="L11" s="79" t="inlineStr">
        <is>
          <t>ADME-MS34-Caco-2-20231215-G6-M A1</t>
        </is>
      </c>
      <c r="M11" s="80" t="n">
        <v>12500000</v>
      </c>
      <c r="N11" s="80" t="n">
        <v>132000</v>
      </c>
    </row>
    <row r="12">
      <c r="A12" s="68" t="n"/>
      <c r="B12" s="69" t="inlineStr">
        <is>
          <t>Blank</t>
        </is>
      </c>
      <c r="C12" s="70">
        <f>L6</f>
        <v/>
      </c>
      <c r="D12" s="71">
        <f>M6</f>
        <v/>
      </c>
      <c r="E12" s="71">
        <f>N6</f>
        <v/>
      </c>
      <c r="F12" s="72">
        <f>D12/E12</f>
        <v/>
      </c>
      <c r="G12" s="76" t="n"/>
      <c r="H12" s="76" t="n"/>
      <c r="I12" s="136" t="inlineStr">
        <is>
          <t>Efflux Ratio</t>
        </is>
      </c>
      <c r="J12" s="138" t="n"/>
      <c r="K12" s="78" t="n"/>
      <c r="L12" s="79" t="inlineStr">
        <is>
          <t>ADME-MS34-Caco-2-20231215-G6-M A2</t>
        </is>
      </c>
      <c r="M12" s="80" t="n">
        <v>12200000</v>
      </c>
      <c r="N12" s="80" t="n">
        <v>129000</v>
      </c>
    </row>
    <row r="13">
      <c r="A13" s="68" t="n"/>
      <c r="B13" s="69" t="inlineStr">
        <is>
          <t>A1'</t>
        </is>
      </c>
      <c r="C13" s="70">
        <f>L9</f>
        <v/>
      </c>
      <c r="D13" s="71">
        <f>M9</f>
        <v/>
      </c>
      <c r="E13" s="71">
        <f>N9</f>
        <v/>
      </c>
      <c r="F13" s="72">
        <f>D13/E13</f>
        <v/>
      </c>
      <c r="G13" s="76" t="n">
        <v>1</v>
      </c>
      <c r="H13" s="76" t="n"/>
      <c r="I13" s="136">
        <f>I8/I3</f>
        <v/>
      </c>
      <c r="J13" s="138" t="n"/>
      <c r="L13" s="79" t="inlineStr">
        <is>
          <t>ADME-MS34-Caco-2-20231215-G6-M B1'</t>
        </is>
      </c>
      <c r="M13" s="80" t="n">
        <v>15300000</v>
      </c>
      <c r="N13" s="80" t="n">
        <v>125000</v>
      </c>
    </row>
    <row r="14">
      <c r="A14" s="68" t="n"/>
      <c r="B14" s="69" t="inlineStr">
        <is>
          <t>A2'</t>
        </is>
      </c>
      <c r="C14" s="70">
        <f>L10</f>
        <v/>
      </c>
      <c r="D14" s="71">
        <f>M10</f>
        <v/>
      </c>
      <c r="E14" s="71">
        <f>N10</f>
        <v/>
      </c>
      <c r="F14" s="72">
        <f>D14/E14</f>
        <v/>
      </c>
      <c r="G14" s="76" t="n">
        <v>2</v>
      </c>
      <c r="H14" s="76" t="n"/>
      <c r="I14" s="136">
        <f>I9/I4</f>
        <v/>
      </c>
      <c r="J14" s="138" t="n"/>
      <c r="L14" s="79" t="inlineStr">
        <is>
          <t>ADME-MS34-Caco-2-20231215-G6-M B2'</t>
        </is>
      </c>
      <c r="M14" s="80" t="n">
        <v>15800000</v>
      </c>
      <c r="N14" s="80" t="n">
        <v>134000</v>
      </c>
    </row>
    <row r="15">
      <c r="A15" s="68" t="n"/>
      <c r="B15" s="69" t="inlineStr">
        <is>
          <t>B1'</t>
        </is>
      </c>
      <c r="C15" s="70">
        <f>L13</f>
        <v/>
      </c>
      <c r="D15" s="71">
        <f>M13</f>
        <v/>
      </c>
      <c r="E15" s="71">
        <f>N13</f>
        <v/>
      </c>
      <c r="F15" s="72">
        <f>D15/E15</f>
        <v/>
      </c>
      <c r="G15" s="76" t="inlineStr">
        <is>
          <t>Ave</t>
        </is>
      </c>
      <c r="H15" s="76" t="n"/>
      <c r="I15" s="136">
        <f>AVERAGE(I13:I14)</f>
        <v/>
      </c>
      <c r="J15" s="138" t="n"/>
      <c r="L15" s="79" t="inlineStr">
        <is>
          <t>ADME-MS34-Caco-2-20231215-G6-M D0A1</t>
        </is>
      </c>
      <c r="M15" s="80" t="n">
        <v>15800000</v>
      </c>
      <c r="N15" s="80" t="n">
        <v>131000</v>
      </c>
    </row>
    <row r="16">
      <c r="A16" s="68" t="n"/>
      <c r="B16" s="69" t="inlineStr">
        <is>
          <t>B2'</t>
        </is>
      </c>
      <c r="C16" s="70">
        <f>L14</f>
        <v/>
      </c>
      <c r="D16" s="71">
        <f>M14</f>
        <v/>
      </c>
      <c r="E16" s="71">
        <f>N14</f>
        <v/>
      </c>
      <c r="F16" s="72">
        <f>D16/E16</f>
        <v/>
      </c>
      <c r="G16" s="76" t="inlineStr">
        <is>
          <t>CV</t>
        </is>
      </c>
      <c r="H16" s="136" t="n"/>
      <c r="I16" s="134">
        <f>STDEV(I13:I14)/I15*100</f>
        <v/>
      </c>
      <c r="J16" s="138" t="n"/>
      <c r="L16" s="79" t="inlineStr">
        <is>
          <t>ADME-MS34-Caco-2-20231215-G6-M D0A2</t>
        </is>
      </c>
      <c r="M16" s="80" t="n">
        <v>15700000</v>
      </c>
      <c r="N16" s="80" t="n">
        <v>133000</v>
      </c>
    </row>
    <row r="17">
      <c r="A17" s="68" t="n"/>
      <c r="B17" s="69" t="inlineStr">
        <is>
          <t>D0B1'</t>
        </is>
      </c>
      <c r="C17" s="70">
        <f>L17</f>
        <v/>
      </c>
      <c r="D17" s="71">
        <f>M17</f>
        <v/>
      </c>
      <c r="E17" s="71">
        <f>N17</f>
        <v/>
      </c>
      <c r="F17" s="72">
        <f>D17/E17</f>
        <v/>
      </c>
      <c r="G17" s="81" t="inlineStr">
        <is>
          <t>IS CV</t>
        </is>
      </c>
      <c r="H17" s="82">
        <f>100*STDEV(E5:E10,E13:E18)/AVERAGE(E5:E10,E13:E18)</f>
        <v/>
      </c>
      <c r="I17" s="139" t="n"/>
      <c r="J17" s="140" t="n"/>
      <c r="L17" s="79" t="inlineStr">
        <is>
          <t>ADME-MS34-Caco-2-20231215-G6-M D0B1'</t>
        </is>
      </c>
      <c r="M17" s="80" t="n">
        <v>17200000</v>
      </c>
      <c r="N17" s="80" t="n">
        <v>130000</v>
      </c>
    </row>
    <row r="18">
      <c r="A18" s="68" t="n"/>
      <c r="B18" s="69" t="inlineStr">
        <is>
          <t>D0B2'</t>
        </is>
      </c>
      <c r="C18" s="70">
        <f>L18</f>
        <v/>
      </c>
      <c r="D18" s="71">
        <f>M18</f>
        <v/>
      </c>
      <c r="E18" s="71">
        <f>N18</f>
        <v/>
      </c>
      <c r="F18" s="72">
        <f>D18/E18</f>
        <v/>
      </c>
      <c r="G18" s="81" t="n"/>
      <c r="H18" s="141" t="n"/>
      <c r="I18" s="139" t="n"/>
      <c r="J18" s="140" t="n"/>
      <c r="L18" s="79" t="inlineStr">
        <is>
          <t>ADME-MS34-Caco-2-20231215-G6-M D0B2'</t>
        </is>
      </c>
      <c r="M18" s="80" t="n">
        <v>17700000</v>
      </c>
      <c r="N18" s="80" t="n">
        <v>132000</v>
      </c>
    </row>
    <row r="19">
      <c r="A19" s="68" t="n"/>
      <c r="B19" s="69" t="inlineStr">
        <is>
          <t>C01</t>
        </is>
      </c>
      <c r="C19" s="70">
        <f>L19</f>
        <v/>
      </c>
      <c r="D19" s="71">
        <f>M19</f>
        <v/>
      </c>
      <c r="E19" s="71">
        <f>N19</f>
        <v/>
      </c>
      <c r="F19" s="72">
        <f>D19/E19</f>
        <v/>
      </c>
      <c r="G19" s="81" t="n"/>
      <c r="H19" s="142" t="n"/>
      <c r="I19" s="142" t="n"/>
      <c r="J19" s="143" t="n"/>
      <c r="L19" s="79" t="inlineStr">
        <is>
          <t>ADME-MS34-Caco-2-20231215-G6-M C0</t>
        </is>
      </c>
      <c r="M19" s="80" t="n">
        <v>17500000</v>
      </c>
      <c r="N19" s="80" t="n">
        <v>129000</v>
      </c>
    </row>
    <row r="20" ht="13.5" customHeight="1" s="124" thickBot="1">
      <c r="A20" s="86" t="n"/>
      <c r="B20" s="87" t="inlineStr">
        <is>
          <t>C02</t>
        </is>
      </c>
      <c r="C20" s="88">
        <f>L20</f>
        <v/>
      </c>
      <c r="D20" s="89">
        <f>M20</f>
        <v/>
      </c>
      <c r="E20" s="89">
        <f>N20</f>
        <v/>
      </c>
      <c r="F20" s="90">
        <f>D20/E20</f>
        <v/>
      </c>
      <c r="G20" s="91" t="n"/>
      <c r="H20" s="144" t="n"/>
      <c r="I20" s="145" t="n"/>
      <c r="J20" s="146" t="n"/>
      <c r="K20" s="64" t="n"/>
      <c r="L20" s="79" t="inlineStr">
        <is>
          <t>ADME-MS34-Caco-2-20231215-G6-M C0</t>
        </is>
      </c>
      <c r="M20" s="80" t="n">
        <v>18000000</v>
      </c>
      <c r="N20" s="80" t="n">
        <v>124000</v>
      </c>
    </row>
    <row r="21" ht="26.25" customHeight="1" s="124" thickBot="1">
      <c r="A21" s="67" t="n">
        <v>2</v>
      </c>
      <c r="B21" s="56" t="inlineStr">
        <is>
          <t xml:space="preserve">96-well </t>
        </is>
      </c>
      <c r="C21" s="56" t="inlineStr">
        <is>
          <t>Sample Name</t>
        </is>
      </c>
      <c r="D21" s="57" t="inlineStr">
        <is>
          <t>Analyte Peak Area (counts)</t>
        </is>
      </c>
      <c r="E21" s="57" t="inlineStr">
        <is>
          <t>IS Peak Area (counts)</t>
        </is>
      </c>
      <c r="F21" s="58" t="inlineStr">
        <is>
          <t>Area Ratio</t>
        </is>
      </c>
      <c r="G21" s="56" t="inlineStr">
        <is>
          <t>Direction</t>
        </is>
      </c>
      <c r="H21" s="130" t="inlineStr">
        <is>
          <t>Well</t>
        </is>
      </c>
      <c r="I21" s="131" t="inlineStr">
        <is>
          <t>Papp
(1E-6 cm/s)</t>
        </is>
      </c>
      <c r="J21" s="132" t="inlineStr">
        <is>
          <t>Recovery
(%)</t>
        </is>
      </c>
      <c r="K21" s="64" t="n"/>
      <c r="L21" s="64" t="n"/>
      <c r="M21" s="94" t="n"/>
      <c r="N21" s="94" t="n"/>
    </row>
    <row r="22">
      <c r="A22" s="68" t="inlineStr">
        <is>
          <t>Digoxin</t>
        </is>
      </c>
      <c r="B22" s="69" t="inlineStr">
        <is>
          <t>Wash</t>
        </is>
      </c>
      <c r="C22" s="70">
        <f>L24</f>
        <v/>
      </c>
      <c r="D22" s="71">
        <f>M24</f>
        <v/>
      </c>
      <c r="E22" s="71">
        <f>N24</f>
        <v/>
      </c>
      <c r="F22" s="72">
        <f>D22/E22</f>
        <v/>
      </c>
      <c r="G22" s="73" t="inlineStr">
        <is>
          <t>A-&gt;B-1</t>
        </is>
      </c>
      <c r="H22" s="133" t="n"/>
      <c r="I22" s="134">
        <f>0.235*F24/(0.143*F28*7200)*1000000</f>
        <v/>
      </c>
      <c r="J22" s="135">
        <f>(F26*0.075+F24*0.235)/0.075/F28*100</f>
        <v/>
      </c>
      <c r="K22" s="64" t="n"/>
      <c r="L22" s="64" t="n"/>
      <c r="M22" s="94" t="n"/>
      <c r="N22" s="94" t="n"/>
    </row>
    <row r="23">
      <c r="A23" s="68" t="n"/>
      <c r="B23" s="69" t="inlineStr">
        <is>
          <t>Blank</t>
        </is>
      </c>
      <c r="C23" s="70">
        <f>L25</f>
        <v/>
      </c>
      <c r="D23" s="71">
        <f>M25</f>
        <v/>
      </c>
      <c r="E23" s="71">
        <f>N25</f>
        <v/>
      </c>
      <c r="F23" s="72">
        <f>D23/E23</f>
        <v/>
      </c>
      <c r="G23" s="76" t="inlineStr">
        <is>
          <t>A-&gt;B-2</t>
        </is>
      </c>
      <c r="H23" s="136" t="n"/>
      <c r="I23" s="134">
        <f>0.235*F25/(0.143*F29*7200)*1000000</f>
        <v/>
      </c>
      <c r="J23" s="135">
        <f>(F27*0.075+F25*0.235)/0.075/F29*100</f>
        <v/>
      </c>
      <c r="K23" s="78" t="n"/>
      <c r="L23" s="79" t="inlineStr">
        <is>
          <t>ADME-MS34-Caco-2-20231215-wash</t>
        </is>
      </c>
      <c r="M23" s="80" t="n">
        <v>168</v>
      </c>
      <c r="N23" s="80" t="n">
        <v>0</v>
      </c>
    </row>
    <row r="24">
      <c r="A24" s="68" t="n"/>
      <c r="B24" s="69" t="inlineStr">
        <is>
          <t>B1</t>
        </is>
      </c>
      <c r="C24" s="70">
        <f>L26</f>
        <v/>
      </c>
      <c r="D24" s="71">
        <f>M26</f>
        <v/>
      </c>
      <c r="E24" s="71">
        <f>N26</f>
        <v/>
      </c>
      <c r="F24" s="72">
        <f>D24/E24</f>
        <v/>
      </c>
      <c r="G24" s="76" t="inlineStr">
        <is>
          <t>Ave</t>
        </is>
      </c>
      <c r="H24" s="136" t="n"/>
      <c r="I24" s="133">
        <f>AVERAGE(I22:I23)</f>
        <v/>
      </c>
      <c r="J24" s="137">
        <f>AVERAGE(J22:J23)</f>
        <v/>
      </c>
      <c r="K24" s="64" t="n"/>
      <c r="L24" s="79" t="inlineStr">
        <is>
          <t>ADME-MS34-Caco-2-20231215-wash</t>
        </is>
      </c>
      <c r="M24" s="80" t="n">
        <v>126</v>
      </c>
      <c r="N24" s="80" t="n">
        <v>0</v>
      </c>
    </row>
    <row r="25">
      <c r="A25" s="68" t="n"/>
      <c r="B25" s="69" t="inlineStr">
        <is>
          <t>B2</t>
        </is>
      </c>
      <c r="C25" s="70">
        <f>L27</f>
        <v/>
      </c>
      <c r="D25" s="71">
        <f>M27</f>
        <v/>
      </c>
      <c r="E25" s="71">
        <f>N27</f>
        <v/>
      </c>
      <c r="F25" s="72">
        <f>D25/E25</f>
        <v/>
      </c>
      <c r="G25" s="76" t="inlineStr">
        <is>
          <t>CV</t>
        </is>
      </c>
      <c r="H25" s="136" t="n"/>
      <c r="I25" s="134">
        <f>STDEV(I22:I23)/I24*100</f>
        <v/>
      </c>
      <c r="J25" s="135">
        <f>STDEV(J22:J23)/J24*100</f>
        <v/>
      </c>
      <c r="K25" s="78" t="n"/>
      <c r="L25" s="79" t="inlineStr">
        <is>
          <t>ADME-MS34-Caco-2-20231215-Blank</t>
        </is>
      </c>
      <c r="M25" s="80" t="n">
        <v>65.40000000000001</v>
      </c>
      <c r="N25" s="80" t="n">
        <v>154000</v>
      </c>
    </row>
    <row r="26">
      <c r="A26" s="68" t="n"/>
      <c r="B26" s="69" t="inlineStr">
        <is>
          <t>A1</t>
        </is>
      </c>
      <c r="C26" s="70">
        <f>L30</f>
        <v/>
      </c>
      <c r="D26" s="71">
        <f>M30</f>
        <v/>
      </c>
      <c r="E26" s="71">
        <f>N30</f>
        <v/>
      </c>
      <c r="F26" s="72">
        <f>D26/E26</f>
        <v/>
      </c>
      <c r="G26" s="76" t="n"/>
      <c r="H26" s="136" t="n"/>
      <c r="I26" s="134" t="n"/>
      <c r="J26" s="135" t="n"/>
      <c r="K26" s="64" t="n"/>
      <c r="L26" s="79" t="inlineStr">
        <is>
          <t>ADME-MS34-Caco-2-20231215-G7-D B1</t>
        </is>
      </c>
      <c r="M26" s="80" t="n">
        <v>1080</v>
      </c>
      <c r="N26" s="80" t="n">
        <v>141000</v>
      </c>
    </row>
    <row r="27">
      <c r="A27" s="68" t="n"/>
      <c r="B27" s="69" t="inlineStr">
        <is>
          <t>A2</t>
        </is>
      </c>
      <c r="C27" s="70">
        <f>L31</f>
        <v/>
      </c>
      <c r="D27" s="71">
        <f>M31</f>
        <v/>
      </c>
      <c r="E27" s="71">
        <f>N31</f>
        <v/>
      </c>
      <c r="F27" s="72">
        <f>D27/E27</f>
        <v/>
      </c>
      <c r="G27" s="73" t="inlineStr">
        <is>
          <t>B-&gt;A-1</t>
        </is>
      </c>
      <c r="H27" s="133" t="n"/>
      <c r="I27" s="134">
        <f>0.075*F32/(0.143*F36*7200)*1000000</f>
        <v/>
      </c>
      <c r="J27" s="135">
        <f>(F32*0.075+F34*0.235)/0.235/F36*100</f>
        <v/>
      </c>
      <c r="K27" s="78" t="n"/>
      <c r="L27" s="79" t="inlineStr">
        <is>
          <t>ADME-MS34-Caco-2-20231215-G7-D B2</t>
        </is>
      </c>
      <c r="M27" s="80" t="n">
        <v>1060</v>
      </c>
      <c r="N27" s="80" t="n">
        <v>136000</v>
      </c>
    </row>
    <row r="28">
      <c r="A28" s="68" t="n"/>
      <c r="B28" s="69" t="inlineStr">
        <is>
          <t>D0A1</t>
        </is>
      </c>
      <c r="C28" s="70">
        <f>L34</f>
        <v/>
      </c>
      <c r="D28" s="71">
        <f>M34</f>
        <v/>
      </c>
      <c r="E28" s="71">
        <f>N34</f>
        <v/>
      </c>
      <c r="F28" s="72">
        <f>D28/E28</f>
        <v/>
      </c>
      <c r="G28" s="76" t="inlineStr">
        <is>
          <t>B-&gt;A-2</t>
        </is>
      </c>
      <c r="H28" s="136" t="n"/>
      <c r="I28" s="134">
        <f>0.075*F33/(0.143*F37*7200)*1000000</f>
        <v/>
      </c>
      <c r="J28" s="135">
        <f>(F33*0.075+F35*0.235)/0.235/F37*100</f>
        <v/>
      </c>
      <c r="K28" s="64" t="n"/>
      <c r="L28" s="79" t="inlineStr">
        <is>
          <t>ADME-MS34-Caco-2-20231215-G7-D A1'</t>
        </is>
      </c>
      <c r="M28" s="80" t="n">
        <v>142000</v>
      </c>
      <c r="N28" s="80" t="n">
        <v>136000</v>
      </c>
    </row>
    <row r="29">
      <c r="A29" s="68" t="n"/>
      <c r="B29" s="69" t="inlineStr">
        <is>
          <t>D0A2</t>
        </is>
      </c>
      <c r="C29" s="70">
        <f>L35</f>
        <v/>
      </c>
      <c r="D29" s="71">
        <f>M35</f>
        <v/>
      </c>
      <c r="E29" s="71">
        <f>N35</f>
        <v/>
      </c>
      <c r="F29" s="72">
        <f>D29/E29</f>
        <v/>
      </c>
      <c r="G29" s="76" t="inlineStr">
        <is>
          <t>Ave</t>
        </is>
      </c>
      <c r="H29" s="136" t="n"/>
      <c r="I29" s="133">
        <f>AVERAGE(I27:I28)</f>
        <v/>
      </c>
      <c r="J29" s="137">
        <f>AVERAGE(J27:J28)</f>
        <v/>
      </c>
      <c r="K29" s="78" t="n"/>
      <c r="L29" s="79" t="inlineStr">
        <is>
          <t>ADME-MS34-Caco-2-20231215-G7-D A2'</t>
        </is>
      </c>
      <c r="M29" s="80" t="n">
        <v>130000</v>
      </c>
      <c r="N29" s="80" t="n">
        <v>140000</v>
      </c>
    </row>
    <row r="30">
      <c r="A30" s="68" t="n"/>
      <c r="B30" s="69" t="inlineStr">
        <is>
          <t>Wash</t>
        </is>
      </c>
      <c r="C30" s="70">
        <f>L24</f>
        <v/>
      </c>
      <c r="D30" s="71">
        <f>M24</f>
        <v/>
      </c>
      <c r="E30" s="71">
        <f>N24</f>
        <v/>
      </c>
      <c r="F30" s="72">
        <f>D30/E30</f>
        <v/>
      </c>
      <c r="G30" s="76" t="inlineStr">
        <is>
          <t>CV</t>
        </is>
      </c>
      <c r="H30" s="136" t="n"/>
      <c r="I30" s="134">
        <f>STDEV(I27:I28)/I29*100</f>
        <v/>
      </c>
      <c r="J30" s="135">
        <f>STDEV(J27:J28)/J29*100</f>
        <v/>
      </c>
      <c r="K30" s="64" t="n"/>
      <c r="L30" s="79" t="inlineStr">
        <is>
          <t>ADME-MS34-Caco-2-20231215-G7-D A1</t>
        </is>
      </c>
      <c r="M30" s="80" t="n">
        <v>587000</v>
      </c>
      <c r="N30" s="80" t="n">
        <v>143000</v>
      </c>
      <c r="O30" s="129" t="n"/>
      <c r="P30" s="129" t="n"/>
      <c r="Q30" s="129" t="n"/>
      <c r="R30" s="129" t="n"/>
    </row>
    <row r="31">
      <c r="A31" s="68" t="n"/>
      <c r="B31" s="69" t="inlineStr">
        <is>
          <t>Blank</t>
        </is>
      </c>
      <c r="C31" s="70">
        <f>L25</f>
        <v/>
      </c>
      <c r="D31" s="71">
        <f>M25</f>
        <v/>
      </c>
      <c r="E31" s="71">
        <f>N25</f>
        <v/>
      </c>
      <c r="F31" s="72">
        <f>D31/E31</f>
        <v/>
      </c>
      <c r="G31" s="76" t="n"/>
      <c r="H31" s="76" t="n"/>
      <c r="I31" s="136" t="inlineStr">
        <is>
          <t>Efflux Ratio</t>
        </is>
      </c>
      <c r="J31" s="138" t="n"/>
      <c r="K31" s="78" t="n"/>
      <c r="L31" s="79" t="inlineStr">
        <is>
          <t>ADME-MS34-Caco-2-20231215-G7-D A2</t>
        </is>
      </c>
      <c r="M31" s="80" t="n">
        <v>602000</v>
      </c>
      <c r="N31" s="80" t="n">
        <v>142000</v>
      </c>
      <c r="O31" s="129" t="n"/>
      <c r="P31" s="129" t="n"/>
      <c r="Q31" s="129" t="n"/>
      <c r="R31" s="129" t="n"/>
    </row>
    <row r="32">
      <c r="A32" s="68" t="n"/>
      <c r="B32" s="69" t="inlineStr">
        <is>
          <t>A1'</t>
        </is>
      </c>
      <c r="C32" s="70">
        <f>L28</f>
        <v/>
      </c>
      <c r="D32" s="71">
        <f>M28</f>
        <v/>
      </c>
      <c r="E32" s="71">
        <f>N28</f>
        <v/>
      </c>
      <c r="F32" s="72">
        <f>D32/E32</f>
        <v/>
      </c>
      <c r="G32" s="76" t="n">
        <v>1</v>
      </c>
      <c r="H32" s="76" t="n"/>
      <c r="I32" s="136">
        <f>I27/I22</f>
        <v/>
      </c>
      <c r="J32" s="138" t="n"/>
      <c r="L32" s="79" t="inlineStr">
        <is>
          <t>ADME-MS34-Caco-2-20231215-G7-D B1'</t>
        </is>
      </c>
      <c r="M32" s="80" t="n">
        <v>638000</v>
      </c>
      <c r="N32" s="80" t="n">
        <v>140000</v>
      </c>
      <c r="O32" s="129" t="n"/>
      <c r="P32" s="129" t="n"/>
      <c r="Q32" s="129" t="n"/>
      <c r="R32" s="129" t="n"/>
    </row>
    <row r="33">
      <c r="A33" s="68" t="n"/>
      <c r="B33" s="69" t="inlineStr">
        <is>
          <t>A2'</t>
        </is>
      </c>
      <c r="C33" s="70">
        <f>L29</f>
        <v/>
      </c>
      <c r="D33" s="71">
        <f>M29</f>
        <v/>
      </c>
      <c r="E33" s="71">
        <f>N29</f>
        <v/>
      </c>
      <c r="F33" s="72">
        <f>D33/E33</f>
        <v/>
      </c>
      <c r="G33" s="76" t="n">
        <v>2</v>
      </c>
      <c r="H33" s="76" t="n"/>
      <c r="I33" s="136">
        <f>I28/I23</f>
        <v/>
      </c>
      <c r="J33" s="138" t="n"/>
      <c r="L33" s="79" t="inlineStr">
        <is>
          <t>ADME-MS34-Caco-2-20231215-G7-D B2'</t>
        </is>
      </c>
      <c r="M33" s="80" t="n">
        <v>618000</v>
      </c>
      <c r="N33" s="80" t="n">
        <v>134000</v>
      </c>
    </row>
    <row r="34">
      <c r="A34" s="68" t="n"/>
      <c r="B34" s="69" t="inlineStr">
        <is>
          <t>B1'</t>
        </is>
      </c>
      <c r="C34" s="70">
        <f>L32</f>
        <v/>
      </c>
      <c r="D34" s="71">
        <f>M32</f>
        <v/>
      </c>
      <c r="E34" s="71">
        <f>N32</f>
        <v/>
      </c>
      <c r="F34" s="72">
        <f>D34/E34</f>
        <v/>
      </c>
      <c r="G34" s="76" t="inlineStr">
        <is>
          <t>Ave</t>
        </is>
      </c>
      <c r="H34" s="76" t="n"/>
      <c r="I34" s="136">
        <f>AVERAGE(I32:I33)</f>
        <v/>
      </c>
      <c r="J34" s="138" t="n"/>
      <c r="L34" s="79" t="inlineStr">
        <is>
          <t>ADME-MS34-Caco-2-20231215-G7-D D0A1</t>
        </is>
      </c>
      <c r="M34" s="80" t="n">
        <v>626000</v>
      </c>
      <c r="N34" s="80" t="n">
        <v>142000</v>
      </c>
    </row>
    <row r="35">
      <c r="A35" s="68" t="n"/>
      <c r="B35" s="69" t="inlineStr">
        <is>
          <t>B2'</t>
        </is>
      </c>
      <c r="C35" s="70">
        <f>L33</f>
        <v/>
      </c>
      <c r="D35" s="71">
        <f>M33</f>
        <v/>
      </c>
      <c r="E35" s="71">
        <f>N33</f>
        <v/>
      </c>
      <c r="F35" s="72">
        <f>D35/E35</f>
        <v/>
      </c>
      <c r="G35" s="76" t="inlineStr">
        <is>
          <t>CV</t>
        </is>
      </c>
      <c r="H35" s="136" t="n"/>
      <c r="I35" s="134">
        <f>STDEV(I32:I33)/I34*100</f>
        <v/>
      </c>
      <c r="J35" s="138" t="n"/>
      <c r="L35" s="79" t="inlineStr">
        <is>
          <t>ADME-MS34-Caco-2-20231215-G7-D D0A2</t>
        </is>
      </c>
      <c r="M35" s="80" t="n">
        <v>683000</v>
      </c>
      <c r="N35" s="80" t="n">
        <v>142000</v>
      </c>
    </row>
    <row r="36">
      <c r="A36" s="68" t="n"/>
      <c r="B36" s="69" t="inlineStr">
        <is>
          <t>D0B1'</t>
        </is>
      </c>
      <c r="C36" s="70">
        <f>L36</f>
        <v/>
      </c>
      <c r="D36" s="71">
        <f>M36</f>
        <v/>
      </c>
      <c r="E36" s="71">
        <f>N36</f>
        <v/>
      </c>
      <c r="F36" s="72">
        <f>D36/E36</f>
        <v/>
      </c>
      <c r="G36" s="81" t="inlineStr">
        <is>
          <t>IS CV</t>
        </is>
      </c>
      <c r="H36" s="82">
        <f>100*STDEV(E24:E29,E32:E37)/AVERAGE(E24:E29,E32:E37)</f>
        <v/>
      </c>
      <c r="I36" s="139" t="n"/>
      <c r="J36" s="140" t="n"/>
      <c r="L36" s="79" t="inlineStr">
        <is>
          <t>ADME-MS34-Caco-2-20231215-G7-D D0B1'</t>
        </is>
      </c>
      <c r="M36" s="80" t="n">
        <v>711000</v>
      </c>
      <c r="N36" s="80" t="n">
        <v>144000</v>
      </c>
    </row>
    <row r="37">
      <c r="A37" s="68" t="n"/>
      <c r="B37" s="69" t="inlineStr">
        <is>
          <t>D0B2'</t>
        </is>
      </c>
      <c r="C37" s="70">
        <f>L37</f>
        <v/>
      </c>
      <c r="D37" s="71">
        <f>M37</f>
        <v/>
      </c>
      <c r="E37" s="71">
        <f>N37</f>
        <v/>
      </c>
      <c r="F37" s="72">
        <f>D37/E37</f>
        <v/>
      </c>
      <c r="G37" s="81" t="n"/>
      <c r="H37" s="141" t="n"/>
      <c r="I37" s="139" t="n"/>
      <c r="J37" s="140" t="n"/>
      <c r="L37" s="79" t="inlineStr">
        <is>
          <t>ADME-MS34-Caco-2-20231215-G7-D D0B2'</t>
        </is>
      </c>
      <c r="M37" s="80" t="n">
        <v>723000</v>
      </c>
      <c r="N37" s="80" t="n">
        <v>142000</v>
      </c>
    </row>
    <row r="38">
      <c r="A38" s="68" t="n"/>
      <c r="B38" s="69" t="inlineStr">
        <is>
          <t>C01</t>
        </is>
      </c>
      <c r="C38" s="70">
        <f>L38</f>
        <v/>
      </c>
      <c r="D38" s="71">
        <f>M38</f>
        <v/>
      </c>
      <c r="E38" s="71">
        <f>N38</f>
        <v/>
      </c>
      <c r="F38" s="72">
        <f>D38/E38</f>
        <v/>
      </c>
      <c r="G38" s="81" t="n"/>
      <c r="H38" s="142" t="n"/>
      <c r="I38" s="142" t="n"/>
      <c r="J38" s="143" t="n"/>
      <c r="L38" s="79" t="inlineStr">
        <is>
          <t>ADME-MS34-Caco-2-20231215-G7-D C0</t>
        </is>
      </c>
      <c r="M38" s="80" t="n">
        <v>812000</v>
      </c>
      <c r="N38" s="80" t="n">
        <v>147000</v>
      </c>
    </row>
    <row r="39" ht="13.5" customHeight="1" s="124" thickBot="1">
      <c r="A39" s="86" t="n"/>
      <c r="B39" s="87" t="inlineStr">
        <is>
          <t>C02</t>
        </is>
      </c>
      <c r="C39" s="88">
        <f>L39</f>
        <v/>
      </c>
      <c r="D39" s="89">
        <f>M39</f>
        <v/>
      </c>
      <c r="E39" s="89">
        <f>N39</f>
        <v/>
      </c>
      <c r="F39" s="90">
        <f>D39/E39</f>
        <v/>
      </c>
      <c r="G39" s="91" t="n"/>
      <c r="H39" s="144" t="n"/>
      <c r="I39" s="145" t="n"/>
      <c r="J39" s="146" t="n"/>
      <c r="K39" s="64" t="n"/>
      <c r="L39" s="79" t="inlineStr">
        <is>
          <t>ADME-MS34-Caco-2-20231215-G7-D C0</t>
        </is>
      </c>
      <c r="M39" s="80" t="n">
        <v>823000</v>
      </c>
      <c r="N39" s="80" t="n">
        <v>150000</v>
      </c>
    </row>
    <row r="40" ht="26.25" customHeight="1" s="124" thickBot="1">
      <c r="A40" s="67" t="n">
        <v>3</v>
      </c>
      <c r="B40" s="56" t="inlineStr">
        <is>
          <t xml:space="preserve">96-well </t>
        </is>
      </c>
      <c r="C40" s="56" t="inlineStr">
        <is>
          <t>Sample Name</t>
        </is>
      </c>
      <c r="D40" s="57" t="inlineStr">
        <is>
          <t>Analyte Peak Area (counts)</t>
        </is>
      </c>
      <c r="E40" s="57" t="inlineStr">
        <is>
          <t>IS Peak Area (counts)</t>
        </is>
      </c>
      <c r="F40" s="58" t="inlineStr">
        <is>
          <t>Area Ratio</t>
        </is>
      </c>
      <c r="G40" s="56" t="inlineStr">
        <is>
          <t>Direction</t>
        </is>
      </c>
      <c r="H40" s="130" t="inlineStr">
        <is>
          <t>Well</t>
        </is>
      </c>
      <c r="I40" s="131" t="inlineStr">
        <is>
          <t>Papp
(1E-6 cm/s)</t>
        </is>
      </c>
      <c r="J40" s="132" t="inlineStr">
        <is>
          <t>Recovery
(%)</t>
        </is>
      </c>
      <c r="K40" s="64" t="n"/>
      <c r="L40" s="64" t="n"/>
      <c r="M40" s="64" t="n"/>
      <c r="N40" s="64" t="n"/>
    </row>
    <row r="41">
      <c r="A41" s="68" t="inlineStr">
        <is>
          <t>PH-NTU-00-00-000-1</t>
        </is>
      </c>
      <c r="B41" s="69" t="inlineStr">
        <is>
          <t>Wash</t>
        </is>
      </c>
      <c r="C41" s="70">
        <f>L43</f>
        <v/>
      </c>
      <c r="D41" s="71">
        <f>M43</f>
        <v/>
      </c>
      <c r="E41" s="71">
        <f>N43</f>
        <v/>
      </c>
      <c r="F41" s="72">
        <f>D41/E41</f>
        <v/>
      </c>
      <c r="G41" s="73" t="inlineStr">
        <is>
          <t>A-&gt;B-1</t>
        </is>
      </c>
      <c r="H41" s="133" t="n"/>
      <c r="I41" s="134">
        <f>0.235*F43/(0.143*F47*7200)*1000000</f>
        <v/>
      </c>
      <c r="J41" s="135">
        <f>(F45*0.075+F43*0.235)/0.075/F47*100</f>
        <v/>
      </c>
      <c r="K41" s="64" t="n"/>
      <c r="L41" s="64" t="n"/>
      <c r="M41" s="64" t="n"/>
      <c r="N41" s="64" t="n"/>
    </row>
    <row r="42">
      <c r="A42" s="68" t="n"/>
      <c r="B42" s="69" t="inlineStr">
        <is>
          <t>Blank</t>
        </is>
      </c>
      <c r="C42" s="70">
        <f>L44</f>
        <v/>
      </c>
      <c r="D42" s="71">
        <f>M44</f>
        <v/>
      </c>
      <c r="E42" s="71">
        <f>N44</f>
        <v/>
      </c>
      <c r="F42" s="72">
        <f>D42/E42</f>
        <v/>
      </c>
      <c r="G42" s="76" t="inlineStr">
        <is>
          <t>A-&gt;B-2</t>
        </is>
      </c>
      <c r="H42" s="136" t="n"/>
      <c r="I42" s="134">
        <f>0.235*F44/(0.143*F48*7200)*1000000</f>
        <v/>
      </c>
      <c r="J42" s="135">
        <f>(F46*0.075+F44*0.235)/0.075/F48*100</f>
        <v/>
      </c>
      <c r="K42" s="78" t="n"/>
      <c r="L42" s="79" t="inlineStr">
        <is>
          <t>ADME-MS34-Caco-2-20231215-wash</t>
        </is>
      </c>
      <c r="M42" s="80" t="n">
        <v>343</v>
      </c>
      <c r="N42" s="80" t="n">
        <v>0</v>
      </c>
    </row>
    <row r="43">
      <c r="A43" s="68" t="n"/>
      <c r="B43" s="69" t="inlineStr">
        <is>
          <t>B1</t>
        </is>
      </c>
      <c r="C43" s="70">
        <f>L45</f>
        <v/>
      </c>
      <c r="D43" s="71">
        <f>M45</f>
        <v/>
      </c>
      <c r="E43" s="71">
        <f>N45</f>
        <v/>
      </c>
      <c r="F43" s="72">
        <f>D43/E43</f>
        <v/>
      </c>
      <c r="G43" s="76" t="inlineStr">
        <is>
          <t>Ave</t>
        </is>
      </c>
      <c r="H43" s="136" t="n"/>
      <c r="I43" s="133">
        <f>AVERAGE(I41:I42)</f>
        <v/>
      </c>
      <c r="J43" s="137">
        <f>AVERAGE(J41:J42)</f>
        <v/>
      </c>
      <c r="K43" s="64" t="n"/>
      <c r="L43" s="79" t="inlineStr">
        <is>
          <t>ADME-MS34-Caco-2-20231215-wash</t>
        </is>
      </c>
      <c r="M43" s="80" t="n">
        <v>449</v>
      </c>
      <c r="N43" s="80" t="n">
        <v>0</v>
      </c>
    </row>
    <row r="44">
      <c r="A44" s="68" t="n"/>
      <c r="B44" s="69" t="inlineStr">
        <is>
          <t>B2</t>
        </is>
      </c>
      <c r="C44" s="70">
        <f>L46</f>
        <v/>
      </c>
      <c r="D44" s="71">
        <f>M46</f>
        <v/>
      </c>
      <c r="E44" s="71">
        <f>N46</f>
        <v/>
      </c>
      <c r="F44" s="72">
        <f>D44/E44</f>
        <v/>
      </c>
      <c r="G44" s="76" t="inlineStr">
        <is>
          <t>CV</t>
        </is>
      </c>
      <c r="H44" s="136" t="n"/>
      <c r="I44" s="134">
        <f>STDEV(I41:I42)/I43*100</f>
        <v/>
      </c>
      <c r="J44" s="135">
        <f>STDEV(J41:J42)/J43*100</f>
        <v/>
      </c>
      <c r="K44" s="78" t="n"/>
      <c r="L44" s="79" t="inlineStr">
        <is>
          <t>ADME-MS34-Caco-2-20231215-Blank</t>
        </is>
      </c>
      <c r="M44" s="80" t="n">
        <v>156</v>
      </c>
      <c r="N44" s="80" t="n">
        <v>146000</v>
      </c>
    </row>
    <row r="45">
      <c r="A45" s="68" t="n"/>
      <c r="B45" s="69" t="inlineStr">
        <is>
          <t>A1</t>
        </is>
      </c>
      <c r="C45" s="70">
        <f>L49</f>
        <v/>
      </c>
      <c r="D45" s="71">
        <f>M49</f>
        <v/>
      </c>
      <c r="E45" s="71">
        <f>N49</f>
        <v/>
      </c>
      <c r="F45" s="72">
        <f>D45/E45</f>
        <v/>
      </c>
      <c r="G45" s="76" t="n"/>
      <c r="H45" s="136" t="n"/>
      <c r="I45" s="134" t="n"/>
      <c r="J45" s="135" t="n"/>
      <c r="K45" s="64" t="n"/>
      <c r="L45" s="79" t="inlineStr">
        <is>
          <t>ADME-MS34-Caco-2-20231215-G7-559 B1</t>
        </is>
      </c>
      <c r="M45" s="80" t="n">
        <v>18000</v>
      </c>
      <c r="N45" s="80" t="n">
        <v>143000</v>
      </c>
    </row>
    <row r="46">
      <c r="A46" s="68" t="n"/>
      <c r="B46" s="69" t="inlineStr">
        <is>
          <t>A2</t>
        </is>
      </c>
      <c r="C46" s="70">
        <f>L50</f>
        <v/>
      </c>
      <c r="D46" s="71">
        <f>M50</f>
        <v/>
      </c>
      <c r="E46" s="71">
        <f>N50</f>
        <v/>
      </c>
      <c r="F46" s="72">
        <f>D46/E46</f>
        <v/>
      </c>
      <c r="G46" s="73" t="inlineStr">
        <is>
          <t>B-&gt;A-1</t>
        </is>
      </c>
      <c r="H46" s="133" t="n"/>
      <c r="I46" s="134">
        <f>0.075*F51/(0.143*F55*7200)*1000000</f>
        <v/>
      </c>
      <c r="J46" s="135">
        <f>(F51*0.075+F53*0.235)/0.235/F55*100</f>
        <v/>
      </c>
      <c r="K46" s="78" t="n"/>
      <c r="L46" s="79" t="inlineStr">
        <is>
          <t>ADME-MS34-Caco-2-20231215-G7-559 B2</t>
        </is>
      </c>
      <c r="M46" s="80" t="n">
        <v>21000</v>
      </c>
      <c r="N46" s="80" t="n">
        <v>139000</v>
      </c>
    </row>
    <row r="47">
      <c r="A47" s="68" t="n"/>
      <c r="B47" s="69" t="inlineStr">
        <is>
          <t>D0A1</t>
        </is>
      </c>
      <c r="C47" s="70">
        <f>L53</f>
        <v/>
      </c>
      <c r="D47" s="71">
        <f>M53</f>
        <v/>
      </c>
      <c r="E47" s="71">
        <f>N53</f>
        <v/>
      </c>
      <c r="F47" s="72">
        <f>D47/E47</f>
        <v/>
      </c>
      <c r="G47" s="76" t="inlineStr">
        <is>
          <t>B-&gt;A-2</t>
        </is>
      </c>
      <c r="H47" s="136" t="n"/>
      <c r="I47" s="134">
        <f>0.075*F52/(0.143*F56*7200)*1000000</f>
        <v/>
      </c>
      <c r="J47" s="135">
        <f>(F52*0.075+F54*0.235)/0.235/F56*100</f>
        <v/>
      </c>
      <c r="K47" s="64" t="n"/>
      <c r="L47" s="79" t="inlineStr">
        <is>
          <t>ADME-MS34-Caco-2-20231215-G7-559 A1'</t>
        </is>
      </c>
      <c r="M47" s="80" t="n">
        <v>483000</v>
      </c>
      <c r="N47" s="80" t="n">
        <v>136000</v>
      </c>
    </row>
    <row r="48">
      <c r="A48" s="68" t="n"/>
      <c r="B48" s="69" t="inlineStr">
        <is>
          <t>D0A2</t>
        </is>
      </c>
      <c r="C48" s="70">
        <f>L54</f>
        <v/>
      </c>
      <c r="D48" s="71">
        <f>M54</f>
        <v/>
      </c>
      <c r="E48" s="71">
        <f>N54</f>
        <v/>
      </c>
      <c r="F48" s="72">
        <f>D48/E48</f>
        <v/>
      </c>
      <c r="G48" s="76" t="inlineStr">
        <is>
          <t>Ave</t>
        </is>
      </c>
      <c r="H48" s="136" t="n"/>
      <c r="I48" s="133">
        <f>AVERAGE(I46:I47)</f>
        <v/>
      </c>
      <c r="J48" s="137">
        <f>AVERAGE(J46:J47)</f>
        <v/>
      </c>
      <c r="K48" s="78" t="n"/>
      <c r="L48" s="79" t="inlineStr">
        <is>
          <t>ADME-MS34-Caco-2-20231215-G7-559 A2'</t>
        </is>
      </c>
      <c r="M48" s="80" t="n">
        <v>520000</v>
      </c>
      <c r="N48" s="80" t="n">
        <v>142000</v>
      </c>
    </row>
    <row r="49">
      <c r="A49" s="68" t="n"/>
      <c r="B49" s="69" t="inlineStr">
        <is>
          <t>Wash</t>
        </is>
      </c>
      <c r="C49" s="70">
        <f>L43</f>
        <v/>
      </c>
      <c r="D49" s="71">
        <f>M43</f>
        <v/>
      </c>
      <c r="E49" s="71">
        <f>N43</f>
        <v/>
      </c>
      <c r="F49" s="72">
        <f>D49/E49</f>
        <v/>
      </c>
      <c r="G49" s="76" t="inlineStr">
        <is>
          <t>CV</t>
        </is>
      </c>
      <c r="H49" s="136" t="n"/>
      <c r="I49" s="134">
        <f>STDEV(I46:I47)/I48*100</f>
        <v/>
      </c>
      <c r="J49" s="135">
        <f>STDEV(J46:J47)/J48*100</f>
        <v/>
      </c>
      <c r="K49" s="64" t="n"/>
      <c r="L49" s="79" t="inlineStr">
        <is>
          <t>ADME-MS34-Caco-2-20231215-G7-559 A1</t>
        </is>
      </c>
      <c r="M49" s="80" t="n">
        <v>2970000</v>
      </c>
      <c r="N49" s="80" t="n">
        <v>143000</v>
      </c>
    </row>
    <row r="50">
      <c r="A50" s="68" t="n"/>
      <c r="B50" s="69" t="inlineStr">
        <is>
          <t>Blank</t>
        </is>
      </c>
      <c r="C50" s="70">
        <f>L44</f>
        <v/>
      </c>
      <c r="D50" s="71">
        <f>M44</f>
        <v/>
      </c>
      <c r="E50" s="71">
        <f>N44</f>
        <v/>
      </c>
      <c r="F50" s="72">
        <f>D50/E50</f>
        <v/>
      </c>
      <c r="G50" s="76" t="n"/>
      <c r="H50" s="76" t="n"/>
      <c r="I50" s="136" t="inlineStr">
        <is>
          <t>Efflux Ratio</t>
        </is>
      </c>
      <c r="J50" s="138" t="n"/>
      <c r="K50" s="78" t="n"/>
      <c r="L50" s="79" t="inlineStr">
        <is>
          <t>ADME-MS34-Caco-2-20231215-G7-559 A2</t>
        </is>
      </c>
      <c r="M50" s="80" t="n">
        <v>2720000</v>
      </c>
      <c r="N50" s="80" t="n">
        <v>138000</v>
      </c>
    </row>
    <row r="51">
      <c r="A51" s="68" t="n"/>
      <c r="B51" s="69" t="inlineStr">
        <is>
          <t>A1'</t>
        </is>
      </c>
      <c r="C51" s="70">
        <f>L47</f>
        <v/>
      </c>
      <c r="D51" s="71">
        <f>M47</f>
        <v/>
      </c>
      <c r="E51" s="71">
        <f>N47</f>
        <v/>
      </c>
      <c r="F51" s="72">
        <f>D51/E51</f>
        <v/>
      </c>
      <c r="G51" s="76" t="n">
        <v>1</v>
      </c>
      <c r="H51" s="76" t="n"/>
      <c r="I51" s="136">
        <f>I46/I41</f>
        <v/>
      </c>
      <c r="J51" s="138" t="n"/>
      <c r="L51" s="79" t="inlineStr">
        <is>
          <t>ADME-MS34-Caco-2-20231215-G7-559 B1'</t>
        </is>
      </c>
      <c r="M51" s="80" t="n">
        <v>6610000</v>
      </c>
      <c r="N51" s="80" t="n">
        <v>140000</v>
      </c>
    </row>
    <row r="52">
      <c r="A52" s="68" t="n"/>
      <c r="B52" s="69" t="inlineStr">
        <is>
          <t>A2'</t>
        </is>
      </c>
      <c r="C52" s="70">
        <f>L48</f>
        <v/>
      </c>
      <c r="D52" s="71">
        <f>M48</f>
        <v/>
      </c>
      <c r="E52" s="71">
        <f>N48</f>
        <v/>
      </c>
      <c r="F52" s="72">
        <f>D52/E52</f>
        <v/>
      </c>
      <c r="G52" s="76" t="n">
        <v>2</v>
      </c>
      <c r="H52" s="76" t="n"/>
      <c r="I52" s="136">
        <f>I47/I42</f>
        <v/>
      </c>
      <c r="J52" s="138" t="n"/>
      <c r="L52" s="79" t="inlineStr">
        <is>
          <t>ADME-MS34-Caco-2-20231215-G7-559 B2'</t>
        </is>
      </c>
      <c r="M52" s="80" t="n">
        <v>6770000</v>
      </c>
      <c r="N52" s="80" t="n">
        <v>137000</v>
      </c>
    </row>
    <row r="53">
      <c r="A53" s="68" t="n"/>
      <c r="B53" s="69" t="inlineStr">
        <is>
          <t>B1'</t>
        </is>
      </c>
      <c r="C53" s="70">
        <f>L51</f>
        <v/>
      </c>
      <c r="D53" s="71">
        <f>M51</f>
        <v/>
      </c>
      <c r="E53" s="71">
        <f>N51</f>
        <v/>
      </c>
      <c r="F53" s="72">
        <f>D53/E53</f>
        <v/>
      </c>
      <c r="G53" s="76" t="inlineStr">
        <is>
          <t>Ave</t>
        </is>
      </c>
      <c r="H53" s="76" t="n"/>
      <c r="I53" s="136">
        <f>AVERAGE(I51:I52)</f>
        <v/>
      </c>
      <c r="J53" s="138" t="n"/>
      <c r="L53" s="79" t="inlineStr">
        <is>
          <t>ADME-MS34-Caco-2-20231215-G7-559 D0A1</t>
        </is>
      </c>
      <c r="M53" s="80" t="n">
        <v>7930000</v>
      </c>
      <c r="N53" s="80" t="n">
        <v>144000</v>
      </c>
    </row>
    <row r="54">
      <c r="A54" s="68" t="n"/>
      <c r="B54" s="69" t="inlineStr">
        <is>
          <t>B2'</t>
        </is>
      </c>
      <c r="C54" s="70">
        <f>L52</f>
        <v/>
      </c>
      <c r="D54" s="71">
        <f>M52</f>
        <v/>
      </c>
      <c r="E54" s="71">
        <f>N52</f>
        <v/>
      </c>
      <c r="F54" s="72">
        <f>D54/E54</f>
        <v/>
      </c>
      <c r="G54" s="76" t="inlineStr">
        <is>
          <t>CV</t>
        </is>
      </c>
      <c r="H54" s="136" t="n"/>
      <c r="I54" s="134">
        <f>STDEV(I51:I52)/I53*100</f>
        <v/>
      </c>
      <c r="J54" s="138" t="n"/>
      <c r="L54" s="79" t="inlineStr">
        <is>
          <t>ADME-MS34-Caco-2-20231215-G7-559 D0A2</t>
        </is>
      </c>
      <c r="M54" s="80" t="n">
        <v>8030000</v>
      </c>
      <c r="N54" s="80" t="n">
        <v>140000</v>
      </c>
    </row>
    <row r="55">
      <c r="A55" s="68" t="n"/>
      <c r="B55" s="69" t="inlineStr">
        <is>
          <t>D0B1'</t>
        </is>
      </c>
      <c r="C55" s="70">
        <f>L55</f>
        <v/>
      </c>
      <c r="D55" s="71">
        <f>M55</f>
        <v/>
      </c>
      <c r="E55" s="71">
        <f>N55</f>
        <v/>
      </c>
      <c r="F55" s="72">
        <f>D55/E55</f>
        <v/>
      </c>
      <c r="G55" s="81" t="inlineStr">
        <is>
          <t>IS CV</t>
        </is>
      </c>
      <c r="H55" s="82">
        <f>100*STDEV(E43:E48,E51:E56)/AVERAGE(E43:E48,E51:E56)</f>
        <v/>
      </c>
      <c r="I55" s="139" t="n"/>
      <c r="J55" s="140" t="n"/>
      <c r="L55" s="79" t="inlineStr">
        <is>
          <t>ADME-MS34-Caco-2-20231215-G7-559 D0B1'</t>
        </is>
      </c>
      <c r="M55" s="80" t="n">
        <v>8370000</v>
      </c>
      <c r="N55" s="80" t="n">
        <v>139000</v>
      </c>
    </row>
    <row r="56">
      <c r="A56" s="68" t="n"/>
      <c r="B56" s="69" t="inlineStr">
        <is>
          <t>D0B2'</t>
        </is>
      </c>
      <c r="C56" s="70">
        <f>L56</f>
        <v/>
      </c>
      <c r="D56" s="71">
        <f>M56</f>
        <v/>
      </c>
      <c r="E56" s="71">
        <f>N56</f>
        <v/>
      </c>
      <c r="F56" s="72">
        <f>D56/E56</f>
        <v/>
      </c>
      <c r="G56" s="81" t="n"/>
      <c r="H56" s="141" t="n"/>
      <c r="I56" s="139" t="n"/>
      <c r="J56" s="140" t="n"/>
      <c r="L56" s="79" t="inlineStr">
        <is>
          <t>ADME-MS34-Caco-2-20231215-G7-559 D0B2'</t>
        </is>
      </c>
      <c r="M56" s="80" t="n">
        <v>8820000</v>
      </c>
      <c r="N56" s="80" t="n">
        <v>146000</v>
      </c>
    </row>
    <row r="57">
      <c r="A57" s="68" t="n"/>
      <c r="B57" s="69" t="inlineStr">
        <is>
          <t>C01</t>
        </is>
      </c>
      <c r="C57" s="70">
        <f>L57</f>
        <v/>
      </c>
      <c r="D57" s="71">
        <f>M57</f>
        <v/>
      </c>
      <c r="E57" s="71">
        <f>N57</f>
        <v/>
      </c>
      <c r="F57" s="72">
        <f>D57/E57</f>
        <v/>
      </c>
      <c r="G57" s="81" t="n"/>
      <c r="H57" s="142" t="n"/>
      <c r="I57" s="142" t="n"/>
      <c r="J57" s="143" t="n"/>
      <c r="L57" s="79" t="inlineStr">
        <is>
          <t>ADME-MS34-Caco-2-20231215-G7-559 C0</t>
        </is>
      </c>
      <c r="M57" s="80" t="n">
        <v>9880000</v>
      </c>
      <c r="N57" s="80" t="n">
        <v>142000</v>
      </c>
    </row>
    <row r="58" ht="13.5" customHeight="1" s="124" thickBot="1">
      <c r="A58" s="86" t="n"/>
      <c r="B58" s="87" t="inlineStr">
        <is>
          <t>C02</t>
        </is>
      </c>
      <c r="C58" s="88">
        <f>L58</f>
        <v/>
      </c>
      <c r="D58" s="89">
        <f>M58</f>
        <v/>
      </c>
      <c r="E58" s="89">
        <f>N58</f>
        <v/>
      </c>
      <c r="F58" s="90">
        <f>D58/E58</f>
        <v/>
      </c>
      <c r="G58" s="91" t="n"/>
      <c r="H58" s="144" t="n"/>
      <c r="I58" s="145" t="n"/>
      <c r="J58" s="146" t="n"/>
      <c r="K58" s="64" t="n"/>
      <c r="L58" s="79" t="inlineStr">
        <is>
          <t>ADME-MS34-Caco-2-20231215-G7-559 C0</t>
        </is>
      </c>
      <c r="M58" s="80" t="n">
        <v>10800000</v>
      </c>
      <c r="N58" s="80" t="n">
        <v>142000</v>
      </c>
    </row>
  </sheetData>
  <conditionalFormatting sqref="M7:M8">
    <cfRule type="cellIs" priority="33" operator="lessThanOrEqual" dxfId="0" stopIfTrue="1">
      <formula>3*$M$6</formula>
    </cfRule>
  </conditionalFormatting>
  <conditionalFormatting sqref="M15:M18">
    <cfRule type="cellIs" priority="32" operator="greaterThan" dxfId="0">
      <formula>$M$19*1.2</formula>
    </cfRule>
  </conditionalFormatting>
  <conditionalFormatting sqref="M45:M46">
    <cfRule type="cellIs" priority="31" operator="lessThanOrEqual" dxfId="0" stopIfTrue="1">
      <formula>3*$M$44</formula>
    </cfRule>
  </conditionalFormatting>
  <conditionalFormatting sqref="M53:M56">
    <cfRule type="cellIs" priority="30" operator="greaterThan" dxfId="0">
      <formula>$M$57*1.2</formula>
    </cfRule>
  </conditionalFormatting>
  <conditionalFormatting sqref="M26:M27">
    <cfRule type="cellIs" priority="29" operator="lessThanOrEqual" dxfId="0" stopIfTrue="1">
      <formula>3*$M$25</formula>
    </cfRule>
  </conditionalFormatting>
  <conditionalFormatting sqref="M34:M37">
    <cfRule type="cellIs" priority="28" operator="greaterThan" dxfId="0">
      <formula>$M$38*1.2</formula>
    </cfRule>
  </conditionalFormatting>
  <conditionalFormatting sqref="J3:J5 J8:J10">
    <cfRule type="cellIs" priority="27" operator="notBetween" dxfId="6" stopIfTrue="1">
      <formula>50</formula>
      <formula>130</formula>
    </cfRule>
  </conditionalFormatting>
  <conditionalFormatting sqref="H18">
    <cfRule type="cellIs" priority="26" operator="greaterThan" dxfId="2" stopIfTrue="1">
      <formula>15</formula>
    </cfRule>
  </conditionalFormatting>
  <conditionalFormatting sqref="H17">
    <cfRule type="cellIs" priority="25" operator="greaterThan" dxfId="2" stopIfTrue="1">
      <formula>15</formula>
    </cfRule>
    <cfRule type="cellIs" priority="24" operator="greaterThan" dxfId="3" stopIfTrue="1">
      <formula>33</formula>
    </cfRule>
    <cfRule type="cellIs" priority="23" operator="greaterThan" dxfId="2" stopIfTrue="1">
      <formula>15</formula>
    </cfRule>
  </conditionalFormatting>
  <conditionalFormatting sqref="I13:I15">
    <cfRule type="cellIs" priority="22" operator="lessThan" dxfId="0">
      <formula>0.5</formula>
    </cfRule>
  </conditionalFormatting>
  <conditionalFormatting sqref="L7:N8">
    <cfRule type="expression" priority="21" dxfId="16">
      <formula>$M$7:$M$8=50</formula>
    </cfRule>
  </conditionalFormatting>
  <conditionalFormatting sqref="L7:N10">
    <cfRule type="expression" priority="20" dxfId="15">
      <formula>AND($M$7=50,$M$8=50,$M$9=50,$M$10=50)</formula>
    </cfRule>
  </conditionalFormatting>
  <conditionalFormatting sqref="L45:N46">
    <cfRule type="expression" priority="19" dxfId="16">
      <formula>$M$45:$M$46=50</formula>
    </cfRule>
  </conditionalFormatting>
  <conditionalFormatting sqref="L45:N48">
    <cfRule type="expression" priority="18" dxfId="15">
      <formula>AND($M$45=50,$M$46=50,$M$47=50,$M$48=50)</formula>
    </cfRule>
  </conditionalFormatting>
  <conditionalFormatting sqref="L26:N27">
    <cfRule type="expression" priority="17" dxfId="16">
      <formula>$M$26:$M$27=50</formula>
    </cfRule>
  </conditionalFormatting>
  <conditionalFormatting sqref="L26:N29">
    <cfRule type="expression" priority="16" dxfId="15">
      <formula>AND($M$26=50,$M$27=50,$M$28=50,$M$29=50)</formula>
    </cfRule>
  </conditionalFormatting>
  <conditionalFormatting sqref="I6 I11 I16">
    <cfRule type="cellIs" priority="15" operator="greaterThanOrEqual" dxfId="0">
      <formula>28.28</formula>
    </cfRule>
  </conditionalFormatting>
  <conditionalFormatting sqref="J22:J24 J27:J29">
    <cfRule type="cellIs" priority="14" operator="notBetween" dxfId="6" stopIfTrue="1">
      <formula>50</formula>
      <formula>130</formula>
    </cfRule>
  </conditionalFormatting>
  <conditionalFormatting sqref="H37">
    <cfRule type="cellIs" priority="13" operator="greaterThan" dxfId="2" stopIfTrue="1">
      <formula>15</formula>
    </cfRule>
  </conditionalFormatting>
  <conditionalFormatting sqref="H36">
    <cfRule type="cellIs" priority="12" operator="greaterThan" dxfId="2" stopIfTrue="1">
      <formula>15</formula>
    </cfRule>
    <cfRule type="cellIs" priority="11" operator="greaterThan" dxfId="3" stopIfTrue="1">
      <formula>33</formula>
    </cfRule>
    <cfRule type="cellIs" priority="10" operator="greaterThan" dxfId="2" stopIfTrue="1">
      <formula>15</formula>
    </cfRule>
  </conditionalFormatting>
  <conditionalFormatting sqref="I32:I34">
    <cfRule type="cellIs" priority="9" operator="lessThan" dxfId="0">
      <formula>0.5</formula>
    </cfRule>
  </conditionalFormatting>
  <conditionalFormatting sqref="I25 I30 I35">
    <cfRule type="cellIs" priority="8" operator="greaterThanOrEqual" dxfId="0">
      <formula>28.28</formula>
    </cfRule>
  </conditionalFormatting>
  <conditionalFormatting sqref="J41:J43 J46:J48">
    <cfRule type="cellIs" priority="7" operator="notBetween" dxfId="6" stopIfTrue="1">
      <formula>50</formula>
      <formula>130</formula>
    </cfRule>
  </conditionalFormatting>
  <conditionalFormatting sqref="H56">
    <cfRule type="cellIs" priority="6" operator="greaterThan" dxfId="2" stopIfTrue="1">
      <formula>15</formula>
    </cfRule>
  </conditionalFormatting>
  <conditionalFormatting sqref="H55">
    <cfRule type="cellIs" priority="5" operator="greaterThan" dxfId="2" stopIfTrue="1">
      <formula>15</formula>
    </cfRule>
    <cfRule type="cellIs" priority="4" operator="greaterThan" dxfId="3" stopIfTrue="1">
      <formula>33</formula>
    </cfRule>
    <cfRule type="cellIs" priority="3" operator="greaterThan" dxfId="2" stopIfTrue="1">
      <formula>15</formula>
    </cfRule>
  </conditionalFormatting>
  <conditionalFormatting sqref="I51:I53">
    <cfRule type="cellIs" priority="2" operator="lessThan" dxfId="0">
      <formula>0.5</formula>
    </cfRule>
  </conditionalFormatting>
  <conditionalFormatting sqref="I44 I49 I54">
    <cfRule type="cellIs" priority="1" operator="greaterThanOrEqual" dxfId="0">
      <formula>28.28</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4340</dc:creator>
  <dcterms:created xsi:type="dcterms:W3CDTF">2016-10-18T08:11:00Z</dcterms:created>
  <dcterms:modified xsi:type="dcterms:W3CDTF">2026-01-21T12:13:36Z</dcterms:modifi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2052-11.1.0.10495</vt:lpwstr>
  </property>
  <property name="ICV" fmtid="{D5CDD505-2E9C-101B-9397-08002B2CF9AE}" pid="3">
    <vt:lpwstr>4994DED4E031427DB49399AE58357F0C</vt:lpwstr>
  </property>
  <property name="ContentTypeId" fmtid="{D5CDD505-2E9C-101B-9397-08002B2CF9AE}" pid="4">
    <vt:lpwstr>0x01010088674AA41ADB94489B299D597412080F</vt:lpwstr>
  </property>
</Properties>
</file>