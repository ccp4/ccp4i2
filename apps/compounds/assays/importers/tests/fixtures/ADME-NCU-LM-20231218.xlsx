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0740" windowHeight="11160" tabRatio="600" firstSheet="0" activeTab="1" autoFilterDateGrouping="1"/>
  </bookViews>
  <sheets>
    <sheet name="Signature" sheetId="1" state="visible" r:id="rId1"/>
    <sheet name="Summary" sheetId="2" state="visible" r:id="rId2"/>
    <sheet name="Materials" sheetId="3" state="visible" r:id="rId3"/>
    <sheet name="Study Design" sheetId="4" state="visible" r:id="rId4"/>
    <sheet name="Bioanalytical Method" sheetId="5" state="visible" r:id="rId5"/>
    <sheet name="HLM" sheetId="6" state="visible" r:id="rId6"/>
    <sheet name="MLM" sheetId="7" state="visible" r:id="rId7"/>
  </sheets>
  <externalReferences>
    <externalReference r:id="rId8"/>
    <externalReference r:id="rId9"/>
  </externalReferences>
  <definedNames/>
  <calcPr calcId="191028" fullCalcOnLoad="1"/>
</workbook>
</file>

<file path=xl/styles.xml><?xml version="1.0" encoding="utf-8"?>
<styleSheet xmlns="http://schemas.openxmlformats.org/spreadsheetml/2006/main">
  <numFmts count="6">
    <numFmt numFmtId="164" formatCode="[$$-409]#,##0.00_);[Red]\([$$-409]#,##0.00\)"/>
    <numFmt numFmtId="165" formatCode="0.00_);[Red]\(0.00\)"/>
    <numFmt numFmtId="166" formatCode="0.000"/>
    <numFmt numFmtId="167" formatCode="0.0"/>
    <numFmt numFmtId="168" formatCode="0.0000"/>
    <numFmt numFmtId="169" formatCode="0.00000"/>
  </numFmts>
  <fonts count="43">
    <font>
      <name val="Calibri"/>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family val="2"/>
      <color theme="1"/>
      <sz val="11"/>
      <scheme val="minor"/>
    </font>
    <font>
      <name val="Calibri"/>
      <charset val="134"/>
      <family val="3"/>
      <sz val="9"/>
      <scheme val="minor"/>
    </font>
    <font>
      <name val="Calibri"/>
      <family val="2"/>
      <color theme="1"/>
      <sz val="11"/>
    </font>
    <font>
      <name val="Calibri"/>
      <family val="2"/>
      <b val="1"/>
      <color theme="1"/>
      <sz val="11"/>
    </font>
    <font>
      <name val="Calibri"/>
      <charset val="134"/>
      <family val="2"/>
      <sz val="9"/>
      <scheme val="minor"/>
    </font>
    <font>
      <name val="宋体"/>
      <charset val="134"/>
      <family val="3"/>
      <sz val="9"/>
    </font>
    <font>
      <name val="Calibri"/>
      <family val="2"/>
      <sz val="11"/>
    </font>
    <font>
      <name val="Calibri"/>
      <charset val="134"/>
      <family val="3"/>
      <color theme="1"/>
      <sz val="11"/>
      <scheme val="minor"/>
    </font>
    <font>
      <name val="Calibri"/>
      <family val="2"/>
      <i val="1"/>
      <color indexed="8"/>
      <sz val="11"/>
    </font>
    <font>
      <name val="Calibri"/>
      <family val="2"/>
      <color indexed="8"/>
      <sz val="11"/>
    </font>
    <font>
      <name val="宋体"/>
      <charset val="134"/>
      <family val="3"/>
      <sz val="12"/>
    </font>
    <font>
      <name val="Calibri"/>
      <family val="2"/>
      <b val="1"/>
      <color indexed="8"/>
      <sz val="15"/>
    </font>
    <font>
      <name val="Calibri"/>
      <family val="2"/>
      <color indexed="8"/>
      <sz val="12"/>
    </font>
    <font>
      <name val="Calibri"/>
      <family val="2"/>
      <b val="1"/>
      <color indexed="8"/>
      <sz val="11"/>
    </font>
    <font>
      <name val="Arial"/>
      <family val="2"/>
      <sz val="10"/>
    </font>
    <font>
      <name val="Calibri"/>
      <family val="2"/>
      <color indexed="8"/>
      <sz val="10"/>
    </font>
    <font>
      <name val="Calibri"/>
      <family val="2"/>
      <b val="1"/>
      <sz val="15"/>
    </font>
    <font>
      <name val="Calibri"/>
      <family val="2"/>
      <b val="1"/>
      <sz val="11"/>
    </font>
    <font>
      <name val="宋体"/>
      <charset val="134"/>
      <family val="3"/>
      <color theme="1"/>
      <sz val="11"/>
    </font>
    <font>
      <name val="Calibri"/>
      <family val="2"/>
      <b val="1"/>
      <i val="1"/>
      <sz val="11"/>
    </font>
    <font>
      <name val="Calibri"/>
      <family val="2"/>
      <sz val="9"/>
    </font>
    <font>
      <name val="Calibri"/>
      <family val="2"/>
      <sz val="11"/>
      <vertAlign val="subscript"/>
    </font>
    <font>
      <name val="Calibri"/>
      <family val="2"/>
      <color theme="1"/>
      <sz val="11"/>
      <vertAlign val="subscript"/>
    </font>
    <font>
      <name val="Calibri"/>
      <family val="2"/>
      <color theme="1"/>
      <sz val="12"/>
      <scheme val="minor"/>
    </font>
    <font>
      <name val="宋体"/>
      <charset val="134"/>
      <family val="3"/>
      <color indexed="8"/>
      <sz val="11"/>
    </font>
    <font>
      <name val="Calibri"/>
      <family val="2"/>
      <i val="1"/>
      <sz val="11"/>
    </font>
    <font>
      <name val="Calibri"/>
      <family val="2"/>
      <color theme="1"/>
      <sz val="10"/>
      <vertAlign val="superscript"/>
    </font>
    <font>
      <name val="Calibri"/>
      <family val="2"/>
      <color theme="1"/>
      <sz val="10"/>
    </font>
    <font>
      <name val="Calibri"/>
      <charset val="134"/>
      <family val="3"/>
      <color rgb="FF9C6500"/>
      <sz val="11"/>
      <scheme val="minor"/>
    </font>
    <font>
      <name val="Calibri"/>
      <family val="2"/>
      <sz val="11"/>
      <vertAlign val="superscript"/>
    </font>
    <font>
      <name val="Calibri"/>
      <family val="2"/>
      <b val="1"/>
      <i val="1"/>
      <color theme="1"/>
      <sz val="11"/>
    </font>
    <font>
      <name val="Calibri"/>
      <family val="2"/>
      <b val="1"/>
      <color theme="1"/>
      <sz val="11"/>
      <vertAlign val="subscript"/>
    </font>
    <font>
      <name val="Calibri"/>
      <family val="2"/>
      <b val="1"/>
      <color theme="1"/>
      <sz val="15"/>
    </font>
    <font>
      <name val="Calibri"/>
      <family val="2"/>
      <b val="1"/>
      <color theme="0"/>
      <sz val="11"/>
    </font>
    <font>
      <name val="Calibri"/>
      <family val="2"/>
      <color theme="0"/>
      <sz val="11"/>
    </font>
    <font>
      <name val="Calibri"/>
      <family val="2"/>
      <b val="1"/>
      <color theme="0"/>
      <sz val="11"/>
      <vertAlign val="subscript"/>
    </font>
    <font>
      <name val="Calibri"/>
      <family val="2"/>
      <color theme="3"/>
      <sz val="11"/>
    </font>
    <font>
      <name val="Calibri"/>
      <family val="2"/>
      <color theme="0"/>
      <sz val="11"/>
      <vertAlign val="superscript"/>
    </font>
  </fonts>
  <fills count="12">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FEB9C"/>
      </patternFill>
    </fill>
    <fill>
      <patternFill patternType="solid">
        <fgColor theme="8" tint="0.3999755851924192"/>
        <bgColor indexed="64"/>
      </patternFill>
    </fill>
    <fill>
      <patternFill patternType="solid">
        <fgColor theme="9" tint="-0.249977111117893"/>
        <bgColor indexed="64"/>
      </patternFill>
    </fill>
    <fill>
      <patternFill patternType="solid">
        <fgColor theme="5" tint="0.3999755851924192"/>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theme="9" tint="0.5999938962981048"/>
        <bgColor indexed="64"/>
      </patternFill>
    </fill>
    <fill>
      <patternFill patternType="solid">
        <fgColor theme="0" tint="-0.0499893185216834"/>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hair">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s>
  <cellStyleXfs count="40">
    <xf numFmtId="0" fontId="5" fillId="0" borderId="0"/>
    <xf numFmtId="0" fontId="4" fillId="0" borderId="0" applyAlignment="1">
      <alignment vertical="center"/>
    </xf>
    <xf numFmtId="0" fontId="12" fillId="0" borderId="0" applyAlignment="1">
      <alignment vertical="center"/>
    </xf>
    <xf numFmtId="0" fontId="12" fillId="0" borderId="0" applyAlignment="1">
      <alignment vertical="center"/>
    </xf>
    <xf numFmtId="0" fontId="15" fillId="0" borderId="0"/>
    <xf numFmtId="0" fontId="5" fillId="0" borderId="0" applyAlignment="1">
      <alignment vertical="center"/>
    </xf>
    <xf numFmtId="0" fontId="15" fillId="0" borderId="0"/>
    <xf numFmtId="0" fontId="4" fillId="0" borderId="0" applyAlignment="1">
      <alignment vertical="center"/>
    </xf>
    <xf numFmtId="0" fontId="15" fillId="0" borderId="0"/>
    <xf numFmtId="0" fontId="5" fillId="0" borderId="0" applyAlignment="1">
      <alignment vertical="center"/>
    </xf>
    <xf numFmtId="0" fontId="4" fillId="0" borderId="0" applyAlignment="1">
      <alignment vertical="center"/>
    </xf>
    <xf numFmtId="0" fontId="5" fillId="0" borderId="0"/>
    <xf numFmtId="0" fontId="12" fillId="0" borderId="0" applyAlignment="1">
      <alignment vertical="center"/>
    </xf>
    <xf numFmtId="0" fontId="4" fillId="0" borderId="0" applyAlignment="1">
      <alignment vertical="center"/>
    </xf>
    <xf numFmtId="0" fontId="5" fillId="0" borderId="0" applyAlignment="1">
      <alignment vertical="center"/>
    </xf>
    <xf numFmtId="0" fontId="5" fillId="0" borderId="0" applyAlignment="1">
      <alignment vertical="center"/>
    </xf>
    <xf numFmtId="0" fontId="4" fillId="0" borderId="0" applyAlignment="1">
      <alignment vertical="center"/>
    </xf>
    <xf numFmtId="0" fontId="28" fillId="0" borderId="0"/>
    <xf numFmtId="0" fontId="4" fillId="0" borderId="0" applyAlignment="1">
      <alignment vertical="center"/>
    </xf>
    <xf numFmtId="0" fontId="4" fillId="0" borderId="0" applyAlignment="1">
      <alignment vertical="center"/>
    </xf>
    <xf numFmtId="164" fontId="5" fillId="0" borderId="0" applyAlignment="1">
      <alignment vertical="center"/>
    </xf>
    <xf numFmtId="0" fontId="12" fillId="0" borderId="0" applyAlignment="1">
      <alignment vertical="center"/>
    </xf>
    <xf numFmtId="0" fontId="5" fillId="0" borderId="0"/>
    <xf numFmtId="0" fontId="5" fillId="0" borderId="0"/>
    <xf numFmtId="0" fontId="2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64" fontId="12" fillId="0" borderId="0" applyAlignment="1">
      <alignment vertical="center"/>
    </xf>
    <xf numFmtId="0" fontId="15" fillId="0" borderId="0"/>
    <xf numFmtId="0" fontId="33" fillId="4" borderId="0" applyAlignment="1">
      <alignment vertical="center"/>
    </xf>
    <xf numFmtId="0" fontId="4" fillId="0" borderId="0" applyAlignment="1">
      <alignment vertical="center"/>
    </xf>
    <xf numFmtId="0" fontId="5" fillId="0" borderId="0" applyAlignment="1">
      <alignment vertical="center"/>
    </xf>
    <xf numFmtId="0" fontId="5" fillId="0" borderId="0" applyAlignment="1">
      <alignment vertical="center"/>
    </xf>
    <xf numFmtId="0" fontId="5" fillId="0" borderId="0"/>
    <xf numFmtId="9" fontId="5" fillId="0" borderId="0" applyAlignment="1">
      <alignment vertical="center"/>
    </xf>
  </cellStyleXfs>
  <cellXfs count="236">
    <xf numFmtId="0" fontId="0" fillId="0" borderId="0" pivotButton="0" quotePrefix="0" xfId="0"/>
    <xf numFmtId="0" fontId="7" fillId="0" borderId="0" applyAlignment="1" pivotButton="0" quotePrefix="0" xfId="1">
      <alignment vertical="center"/>
    </xf>
    <xf numFmtId="0" fontId="0" fillId="0" borderId="0" applyAlignment="1" pivotButton="0" quotePrefix="0" xfId="0">
      <alignment vertical="center"/>
    </xf>
    <xf numFmtId="0" fontId="11" fillId="0" borderId="0" applyAlignment="1" pivotButton="0" quotePrefix="0" xfId="9">
      <alignment vertical="center"/>
    </xf>
    <xf numFmtId="0" fontId="22" fillId="0" borderId="2" applyAlignment="1" pivotButton="0" quotePrefix="0" xfId="10">
      <alignment horizontal="center" vertical="center" wrapText="1"/>
    </xf>
    <xf numFmtId="0" fontId="22" fillId="0" borderId="9" applyAlignment="1" pivotButton="0" quotePrefix="0" xfId="10">
      <alignment horizontal="center" vertical="center" wrapText="1"/>
    </xf>
    <xf numFmtId="0" fontId="22" fillId="0" borderId="2" applyAlignment="1" pivotButton="0" quotePrefix="0" xfId="9">
      <alignment horizontal="center" vertical="center" wrapText="1"/>
    </xf>
    <xf numFmtId="0" fontId="22" fillId="0" borderId="3" applyAlignment="1" pivotButton="0" quotePrefix="0" xfId="9">
      <alignment horizontal="center" vertical="center" wrapText="1"/>
    </xf>
    <xf numFmtId="0" fontId="22" fillId="0" borderId="4" applyAlignment="1" pivotButton="0" quotePrefix="0" xfId="9">
      <alignment horizontal="center" vertical="center" wrapText="1"/>
    </xf>
    <xf numFmtId="0" fontId="11" fillId="0" borderId="0" applyAlignment="1" pivotButton="0" quotePrefix="0" xfId="9">
      <alignment vertical="center" wrapText="1"/>
    </xf>
    <xf numFmtId="0" fontId="8" fillId="0" borderId="12" applyAlignment="1" pivotButton="0" quotePrefix="0" xfId="9">
      <alignment horizontal="center" vertical="center" wrapText="1"/>
    </xf>
    <xf numFmtId="0" fontId="8" fillId="0" borderId="13" applyAlignment="1" pivotButton="0" quotePrefix="0" xfId="9">
      <alignment horizontal="center" vertical="center" wrapText="1"/>
    </xf>
    <xf numFmtId="0" fontId="7" fillId="0" borderId="14" applyAlignment="1" pivotButton="0" quotePrefix="0" xfId="9">
      <alignment horizontal="center" vertical="center" wrapText="1"/>
    </xf>
    <xf numFmtId="0" fontId="7" fillId="0" borderId="0" applyAlignment="1" pivotButton="0" quotePrefix="0" xfId="9">
      <alignment horizontal="center" vertical="center" wrapText="1"/>
    </xf>
    <xf numFmtId="0" fontId="7" fillId="0" borderId="15" applyAlignment="1" pivotButton="0" quotePrefix="0" xfId="9">
      <alignment horizontal="center" vertical="center" wrapText="1"/>
    </xf>
    <xf numFmtId="0" fontId="7" fillId="0" borderId="10" applyAlignment="1" pivotButton="0" quotePrefix="0" xfId="9">
      <alignment horizontal="center" vertical="center" wrapText="1"/>
    </xf>
    <xf numFmtId="0" fontId="7" fillId="0" borderId="0" applyAlignment="1" pivotButton="0" quotePrefix="0" xfId="17">
      <alignment vertical="center"/>
    </xf>
    <xf numFmtId="0" fontId="8" fillId="0" borderId="17" applyAlignment="1" pivotButton="0" quotePrefix="0" xfId="17">
      <alignment horizontal="center" vertical="center" wrapText="1"/>
    </xf>
    <xf numFmtId="0" fontId="11" fillId="2" borderId="1" applyAlignment="1" pivotButton="0" quotePrefix="0" xfId="0">
      <alignment horizontal="center" vertical="center"/>
    </xf>
    <xf numFmtId="0" fontId="11" fillId="2" borderId="5" applyAlignment="1" pivotButton="0" quotePrefix="0" xfId="0">
      <alignment horizontal="center" vertical="center"/>
    </xf>
    <xf numFmtId="0" fontId="11" fillId="2" borderId="9" applyAlignment="1" pivotButton="0" quotePrefix="0" xfId="0">
      <alignment horizontal="center" vertical="center"/>
    </xf>
    <xf numFmtId="0" fontId="11" fillId="2" borderId="7" applyAlignment="1" pivotButton="0" quotePrefix="0" xfId="0">
      <alignment horizontal="center" vertical="center"/>
    </xf>
    <xf numFmtId="0" fontId="11" fillId="3" borderId="1" applyAlignment="1" pivotButton="0" quotePrefix="0" xfId="33">
      <alignment horizontal="center" vertical="center" wrapText="1"/>
    </xf>
    <xf numFmtId="0" fontId="11" fillId="3" borderId="3" applyAlignment="1" pivotButton="0" quotePrefix="0" xfId="33">
      <alignment horizontal="center" vertical="center" wrapText="1"/>
    </xf>
    <xf numFmtId="0" fontId="11" fillId="2" borderId="6" applyAlignment="1" pivotButton="0" quotePrefix="0" xfId="0">
      <alignment horizontal="center" vertical="center"/>
    </xf>
    <xf numFmtId="0" fontId="11" fillId="2" borderId="8" applyAlignment="1" pivotButton="0" quotePrefix="0" xfId="0">
      <alignment horizontal="center" vertical="center"/>
    </xf>
    <xf numFmtId="0" fontId="11" fillId="0" borderId="7" applyAlignment="1" pivotButton="0" quotePrefix="0" xfId="10">
      <alignment horizontal="center" vertical="center" wrapText="1"/>
    </xf>
    <xf numFmtId="0" fontId="8" fillId="0" borderId="1" applyAlignment="1" pivotButton="0" quotePrefix="0" xfId="1">
      <alignment horizontal="left" vertical="center" wrapText="1"/>
    </xf>
    <xf numFmtId="0" fontId="7" fillId="0" borderId="1" applyAlignment="1" pivotButton="0" quotePrefix="0" xfId="1">
      <alignment horizontal="left" vertical="center" wrapText="1"/>
    </xf>
    <xf numFmtId="0" fontId="11" fillId="0" borderId="1" applyAlignment="1" pivotButton="0" quotePrefix="0" xfId="1">
      <alignment horizontal="left" vertical="center" wrapText="1"/>
    </xf>
    <xf numFmtId="164" fontId="8" fillId="0" borderId="1" applyAlignment="1" pivotButton="0" quotePrefix="0" xfId="32">
      <alignment horizontal="left" vertical="center" wrapText="1"/>
    </xf>
    <xf numFmtId="0" fontId="8" fillId="0" borderId="1" applyAlignment="1" pivotButton="0" quotePrefix="0" xfId="2">
      <alignment horizontal="left" vertical="center" wrapText="1"/>
    </xf>
    <xf numFmtId="0" fontId="14" fillId="2" borderId="1" applyAlignment="1" pivotButton="0" quotePrefix="0" xfId="0">
      <alignment horizontal="left" vertical="center"/>
    </xf>
    <xf numFmtId="49" fontId="7" fillId="0" borderId="1" applyAlignment="1" pivotButton="0" quotePrefix="0" xfId="4">
      <alignment horizontal="left" vertical="center" wrapText="1"/>
    </xf>
    <xf numFmtId="0" fontId="7" fillId="0" borderId="1" applyAlignment="1" pivotButton="0" quotePrefix="0" xfId="2">
      <alignment horizontal="left" vertical="center" wrapText="1"/>
    </xf>
    <xf numFmtId="0" fontId="35"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4" applyAlignment="1" pivotButton="0" quotePrefix="0" xfId="0">
      <alignment horizontal="center" vertical="center" wrapText="1"/>
    </xf>
    <xf numFmtId="0" fontId="18" fillId="0" borderId="2" applyAlignment="1" pivotButton="0" quotePrefix="0" xfId="6">
      <alignment horizontal="center" vertical="center" wrapText="1"/>
    </xf>
    <xf numFmtId="0" fontId="18" fillId="0" borderId="3" applyAlignment="1" pivotButton="0" quotePrefix="0" xfId="6">
      <alignment horizontal="center" vertical="center" wrapText="1"/>
    </xf>
    <xf numFmtId="0" fontId="7" fillId="0" borderId="9" applyAlignment="1" pivotButton="0" quotePrefix="0" xfId="16">
      <alignment horizontal="center" vertical="center" wrapText="1"/>
    </xf>
    <xf numFmtId="0" fontId="7" fillId="0" borderId="7" applyAlignment="1" pivotButton="0" quotePrefix="0" xfId="36">
      <alignment horizontal="center" vertical="center" wrapText="1"/>
    </xf>
    <xf numFmtId="0" fontId="7" fillId="0" borderId="8" applyAlignment="1" pivotButton="0" quotePrefix="0" xfId="36">
      <alignment horizontal="center" vertical="center" wrapText="1"/>
    </xf>
    <xf numFmtId="0" fontId="8" fillId="0" borderId="2" applyAlignment="1" pivotButton="0" quotePrefix="0" xfId="16">
      <alignment horizontal="center" vertical="center" wrapText="1"/>
    </xf>
    <xf numFmtId="0" fontId="8" fillId="0" borderId="3" applyAlignment="1" pivotButton="0" quotePrefix="0" xfId="36">
      <alignment horizontal="center" vertical="center" wrapText="1"/>
    </xf>
    <xf numFmtId="0" fontId="8" fillId="0" borderId="3" applyAlignment="1" pivotButton="0" quotePrefix="0" xfId="16">
      <alignment horizontal="center" vertical="center" wrapText="1"/>
    </xf>
    <xf numFmtId="0" fontId="8" fillId="0" borderId="4" applyAlignment="1" pivotButton="0" quotePrefix="0" xfId="36">
      <alignment horizontal="center" vertical="center" wrapText="1"/>
    </xf>
    <xf numFmtId="0" fontId="14" fillId="0" borderId="1" applyAlignment="1" pivotButton="0" quotePrefix="0" xfId="6">
      <alignment horizontal="center" vertical="center" wrapText="1"/>
    </xf>
    <xf numFmtId="165" fontId="7" fillId="0" borderId="1" applyAlignment="1" pivotButton="0" quotePrefix="0" xfId="0">
      <alignment horizontal="center" vertical="center" wrapText="1"/>
    </xf>
    <xf numFmtId="165" fontId="7" fillId="0" borderId="6" applyAlignment="1" pivotButton="0" quotePrefix="0" xfId="0">
      <alignment horizontal="center" vertical="center" wrapText="1"/>
    </xf>
    <xf numFmtId="165" fontId="7" fillId="0" borderId="7" applyAlignment="1" pivotButton="0" quotePrefix="0" xfId="0">
      <alignment horizontal="center" vertical="center" wrapText="1"/>
    </xf>
    <xf numFmtId="165" fontId="7" fillId="0" borderId="8" applyAlignment="1" pivotButton="0" quotePrefix="0" xfId="0">
      <alignment horizontal="center" vertical="center" wrapText="1"/>
    </xf>
    <xf numFmtId="0" fontId="11" fillId="0" borderId="3" applyAlignment="1" pivotButton="0" quotePrefix="0" xfId="10">
      <alignment horizontal="center" vertical="center" wrapText="1"/>
    </xf>
    <xf numFmtId="10" fontId="7" fillId="0" borderId="0" applyAlignment="1" pivotButton="0" quotePrefix="0" xfId="0">
      <alignment horizontal="left"/>
    </xf>
    <xf numFmtId="0" fontId="14" fillId="0" borderId="7" applyAlignment="1" pivotButton="0" quotePrefix="0" xfId="6">
      <alignment horizontal="center" vertical="center" wrapText="1"/>
    </xf>
    <xf numFmtId="0" fontId="21" fillId="0" borderId="0" applyAlignment="1" pivotButton="0" quotePrefix="0" xfId="9">
      <alignment vertical="center" wrapText="1"/>
    </xf>
    <xf numFmtId="0" fontId="21" fillId="0" borderId="0" applyAlignment="1" pivotButton="0" quotePrefix="0" xfId="9">
      <alignment horizontal="left" vertical="center" wrapText="1"/>
    </xf>
    <xf numFmtId="0" fontId="11" fillId="0" borderId="0" applyAlignment="1" pivotButton="0" quotePrefix="0" xfId="0">
      <alignment horizontal="left" vertical="center" wrapText="1"/>
    </xf>
    <xf numFmtId="0" fontId="22" fillId="0" borderId="0" applyAlignment="1" pivotButton="0" quotePrefix="0" xfId="10">
      <alignment horizontal="left" vertical="center" wrapText="1"/>
    </xf>
    <xf numFmtId="0" fontId="11" fillId="0" borderId="0" applyAlignment="1" pivotButton="0" quotePrefix="0" xfId="12">
      <alignment horizontal="left" vertical="center" wrapText="1"/>
    </xf>
    <xf numFmtId="0" fontId="22" fillId="0" borderId="0" applyAlignment="1" pivotButton="0" quotePrefix="0" xfId="9">
      <alignment horizontal="left" vertical="center" wrapText="1"/>
    </xf>
    <xf numFmtId="0" fontId="11" fillId="0" borderId="0" applyAlignment="1" pivotButton="0" quotePrefix="0" xfId="10">
      <alignment horizontal="center" vertical="center" wrapText="1"/>
    </xf>
    <xf numFmtId="165" fontId="11" fillId="2" borderId="1" applyAlignment="1" pivotButton="0" quotePrefix="0" xfId="8">
      <alignment horizontal="center" vertical="center" wrapText="1"/>
    </xf>
    <xf numFmtId="165" fontId="11" fillId="2" borderId="6" applyAlignment="1" pivotButton="0" quotePrefix="0" xfId="8">
      <alignment horizontal="center" vertical="center" wrapText="1"/>
    </xf>
    <xf numFmtId="165" fontId="11" fillId="2" borderId="7" applyAlignment="1" pivotButton="0" quotePrefix="0" xfId="8">
      <alignment horizontal="center" vertical="center" wrapText="1"/>
    </xf>
    <xf numFmtId="165" fontId="11" fillId="2" borderId="8" applyAlignment="1" pivotButton="0" quotePrefix="0" xfId="8">
      <alignment horizontal="center" vertical="center" wrapText="1"/>
    </xf>
    <xf numFmtId="0" fontId="7" fillId="0" borderId="7" applyAlignment="1" pivotButton="0" quotePrefix="0" xfId="16">
      <alignment horizontal="center" vertical="center" wrapText="1"/>
    </xf>
    <xf numFmtId="166" fontId="0" fillId="0" borderId="0" applyAlignment="1" pivotButton="0" quotePrefix="0" xfId="0">
      <alignment vertical="center"/>
    </xf>
    <xf numFmtId="166" fontId="11" fillId="0" borderId="7" applyAlignment="1" pivotButton="0" quotePrefix="0" xfId="9">
      <alignment horizontal="center" vertical="center" wrapText="1"/>
    </xf>
    <xf numFmtId="0" fontId="11" fillId="0" borderId="7" applyAlignment="1" pivotButton="0" quotePrefix="0" xfId="9">
      <alignment horizontal="center" vertical="center" wrapText="1"/>
    </xf>
    <xf numFmtId="0" fontId="11" fillId="0" borderId="8" applyAlignment="1" pivotButton="0" quotePrefix="0" xfId="9">
      <alignment horizontal="center" vertical="center" wrapText="1"/>
    </xf>
    <xf numFmtId="0" fontId="17" fillId="0" borderId="0" applyAlignment="1" pivotButton="0" quotePrefix="0" xfId="5">
      <alignment horizontal="center" vertical="center" wrapText="1"/>
    </xf>
    <xf numFmtId="2" fontId="17" fillId="0" borderId="0" applyAlignment="1" pivotButton="0" quotePrefix="0" xfId="5">
      <alignment horizontal="center" vertical="center" wrapText="1"/>
    </xf>
    <xf numFmtId="0" fontId="14" fillId="0" borderId="0" applyAlignment="1" pivotButton="0" quotePrefix="0" xfId="5">
      <alignment horizontal="center" vertical="center" wrapText="1"/>
    </xf>
    <xf numFmtId="0" fontId="18" fillId="0" borderId="6" applyAlignment="1" pivotButton="0" quotePrefix="0" xfId="6">
      <alignment horizontal="center" vertical="center" wrapText="1"/>
    </xf>
    <xf numFmtId="165" fontId="14" fillId="0" borderId="1" applyAlignment="1" pivotButton="0" quotePrefix="0" xfId="5">
      <alignment horizontal="center" vertical="center" wrapText="1"/>
    </xf>
    <xf numFmtId="165" fontId="14" fillId="0" borderId="7" applyAlignment="1" pivotButton="0" quotePrefix="0" xfId="5">
      <alignment horizontal="center" vertical="center" wrapText="1"/>
    </xf>
    <xf numFmtId="0" fontId="18" fillId="0" borderId="1" applyAlignment="1" pivotButton="0" quotePrefix="0" xfId="6">
      <alignment horizontal="center" vertical="center" wrapText="1"/>
    </xf>
    <xf numFmtId="165" fontId="7" fillId="0" borderId="20" applyAlignment="1" pivotButton="0" quotePrefix="0" xfId="0">
      <alignment horizontal="center" vertical="center" wrapText="1"/>
    </xf>
    <xf numFmtId="165" fontId="7" fillId="0" borderId="21" applyAlignment="1" pivotButton="0" quotePrefix="0" xfId="0">
      <alignment horizontal="center" vertical="center" wrapText="1"/>
    </xf>
    <xf numFmtId="0" fontId="11" fillId="0" borderId="4" applyAlignment="1" pivotButton="0" quotePrefix="0" xfId="10">
      <alignment horizontal="center" vertical="center" wrapText="1"/>
    </xf>
    <xf numFmtId="0" fontId="11" fillId="0" borderId="8" applyAlignment="1" pivotButton="0" quotePrefix="0" xfId="10">
      <alignment horizontal="center" vertical="center" wrapText="1"/>
    </xf>
    <xf numFmtId="0" fontId="11" fillId="0" borderId="9" applyAlignment="1" pivotButton="0" quotePrefix="0" xfId="17">
      <alignment horizontal="center" vertical="center"/>
    </xf>
    <xf numFmtId="0" fontId="7" fillId="0" borderId="23" applyAlignment="1" pivotButton="0" quotePrefix="0" xfId="16">
      <alignment horizontal="center" vertical="center" wrapText="1"/>
    </xf>
    <xf numFmtId="0" fontId="7" fillId="0" borderId="24" applyAlignment="1" pivotButton="0" quotePrefix="0" xfId="36">
      <alignment horizontal="center" vertical="center" wrapText="1"/>
    </xf>
    <xf numFmtId="0" fontId="7" fillId="0" borderId="25" applyAlignment="1" pivotButton="0" quotePrefix="0" xfId="36">
      <alignment horizontal="center" vertical="center" wrapText="1"/>
    </xf>
    <xf numFmtId="167" fontId="7" fillId="0" borderId="0" applyAlignment="1" pivotButton="0" quotePrefix="0" xfId="38">
      <alignment horizontal="center" vertical="center"/>
    </xf>
    <xf numFmtId="2" fontId="7" fillId="0" borderId="0" applyAlignment="1" pivotButton="0" quotePrefix="0" xfId="38">
      <alignment horizontal="center" vertical="center"/>
    </xf>
    <xf numFmtId="2" fontId="7" fillId="0" borderId="26" applyAlignment="1" pivotButton="0" quotePrefix="0" xfId="38">
      <alignment horizontal="center" vertical="center"/>
    </xf>
    <xf numFmtId="167" fontId="17" fillId="0" borderId="0" applyAlignment="1" pivotButton="0" quotePrefix="0" xfId="5">
      <alignment horizontal="center" vertical="center" wrapText="1"/>
    </xf>
    <xf numFmtId="0" fontId="8" fillId="0" borderId="2" applyAlignment="1" pivotButton="0" quotePrefix="0" xfId="0">
      <alignment horizontal="center" vertical="center"/>
    </xf>
    <xf numFmtId="0" fontId="8" fillId="0" borderId="3" applyAlignment="1" pivotButton="0" quotePrefix="0" xfId="0">
      <alignment horizontal="center" vertical="center"/>
    </xf>
    <xf numFmtId="0" fontId="22" fillId="0" borderId="3" applyAlignment="1" pivotButton="0" quotePrefix="0" xfId="0">
      <alignment horizontal="center" vertical="center" wrapText="1"/>
    </xf>
    <xf numFmtId="0" fontId="22" fillId="0" borderId="4" applyAlignment="1" pivotButton="0" quotePrefix="0" xfId="0">
      <alignment horizontal="center" vertical="center" wrapText="1"/>
    </xf>
    <xf numFmtId="0" fontId="7" fillId="0" borderId="9" applyAlignment="1" pivotButton="0" quotePrefix="0" xfId="0">
      <alignment horizontal="center" vertical="center" wrapText="1"/>
    </xf>
    <xf numFmtId="0" fontId="7" fillId="0" borderId="7" applyAlignment="1" pivotButton="0" quotePrefix="0" xfId="0">
      <alignment horizontal="center" vertical="center" wrapText="1"/>
    </xf>
    <xf numFmtId="2" fontId="11" fillId="0" borderId="7" applyAlignment="1" pivotButton="0" quotePrefix="0" xfId="0">
      <alignment horizontal="center" vertical="center" wrapText="1"/>
    </xf>
    <xf numFmtId="2" fontId="11" fillId="0" borderId="7" applyAlignment="1" pivotButton="0" quotePrefix="0" xfId="39">
      <alignment horizontal="center" vertical="center" wrapText="1"/>
    </xf>
    <xf numFmtId="10" fontId="11" fillId="0" borderId="8" applyAlignment="1" pivotButton="0" quotePrefix="0" xfId="39">
      <alignment horizontal="center" vertical="center" wrapText="1"/>
    </xf>
    <xf numFmtId="0" fontId="7" fillId="0" borderId="24" applyAlignment="1" pivotButton="0" quotePrefix="0" xfId="16">
      <alignment horizontal="center" vertical="center" wrapText="1"/>
    </xf>
    <xf numFmtId="0" fontId="7" fillId="0" borderId="0" applyAlignment="1" applyProtection="1" pivotButton="0" quotePrefix="0" xfId="38">
      <alignment horizontal="center" vertical="center"/>
      <protection locked="0" hidden="0"/>
    </xf>
    <xf numFmtId="0" fontId="8" fillId="5" borderId="27" applyAlignment="1" applyProtection="1" pivotButton="0" quotePrefix="0" xfId="38">
      <alignment horizontal="center" vertical="center" wrapText="1"/>
      <protection locked="0" hidden="0"/>
    </xf>
    <xf numFmtId="0" fontId="8" fillId="5" borderId="27" applyAlignment="1" applyProtection="1" pivotButton="0" quotePrefix="0" xfId="38">
      <alignment horizontal="center" vertical="center"/>
      <protection locked="0" hidden="0"/>
    </xf>
    <xf numFmtId="2" fontId="8" fillId="0" borderId="0" applyAlignment="1" pivotButton="0" quotePrefix="0" xfId="38">
      <alignment horizontal="left" vertical="center"/>
    </xf>
    <xf numFmtId="0" fontId="8" fillId="7" borderId="27" applyAlignment="1" pivotButton="0" quotePrefix="0" xfId="38">
      <alignment horizontal="center" vertical="center" wrapText="1"/>
    </xf>
    <xf numFmtId="0" fontId="8" fillId="7" borderId="27" applyAlignment="1" pivotButton="0" quotePrefix="0" xfId="38">
      <alignment horizontal="center" vertical="center"/>
    </xf>
    <xf numFmtId="0" fontId="8" fillId="8" borderId="27" applyAlignment="1" applyProtection="1" pivotButton="0" quotePrefix="0" xfId="38">
      <alignment horizontal="center" vertical="center" wrapText="1"/>
      <protection locked="0" hidden="0"/>
    </xf>
    <xf numFmtId="0" fontId="8" fillId="9" borderId="27" applyAlignment="1" pivotButton="0" quotePrefix="0" xfId="38">
      <alignment horizontal="center" vertical="center" wrapText="1"/>
    </xf>
    <xf numFmtId="0" fontId="8" fillId="9" borderId="27" applyAlignment="1" applyProtection="1" pivotButton="0" quotePrefix="0" xfId="38">
      <alignment horizontal="center" vertical="center" wrapText="1"/>
      <protection locked="0" hidden="0"/>
    </xf>
    <xf numFmtId="0" fontId="7" fillId="0" borderId="0" applyProtection="1" pivotButton="0" quotePrefix="0" xfId="38">
      <protection locked="0" hidden="0"/>
    </xf>
    <xf numFmtId="0" fontId="7" fillId="0" borderId="0" applyAlignment="1" applyProtection="1" pivotButton="0" quotePrefix="0" xfId="17">
      <alignment horizontal="center" vertical="center"/>
      <protection locked="0" hidden="0"/>
    </xf>
    <xf numFmtId="11" fontId="7" fillId="0" borderId="0" applyAlignment="1" applyProtection="1" pivotButton="0" quotePrefix="0" xfId="17">
      <alignment horizontal="center" vertical="center"/>
      <protection locked="0" hidden="0"/>
    </xf>
    <xf numFmtId="168" fontId="7" fillId="0" borderId="0" applyAlignment="1" applyProtection="1" pivotButton="0" quotePrefix="0" xfId="17">
      <alignment horizontal="center" vertical="center"/>
      <protection locked="0" hidden="0"/>
    </xf>
    <xf numFmtId="2" fontId="7" fillId="0" borderId="0" applyAlignment="1" pivotButton="0" quotePrefix="0" xfId="38">
      <alignment horizontal="left"/>
    </xf>
    <xf numFmtId="0" fontId="7" fillId="0" borderId="0" applyAlignment="1" pivotButton="0" quotePrefix="0" xfId="38">
      <alignment horizontal="center" vertical="center"/>
    </xf>
    <xf numFmtId="2" fontId="7" fillId="0" borderId="0" applyAlignment="1" applyProtection="1" pivotButton="0" quotePrefix="0" xfId="38">
      <alignment horizontal="center" vertical="center"/>
      <protection locked="0" hidden="0"/>
    </xf>
    <xf numFmtId="0" fontId="39" fillId="0" borderId="0" applyAlignment="1" applyProtection="1" pivotButton="0" quotePrefix="0" xfId="38">
      <alignment vertical="center"/>
      <protection locked="0" hidden="0"/>
    </xf>
    <xf numFmtId="2" fontId="8" fillId="0" borderId="0" applyAlignment="1" pivotButton="0" quotePrefix="0" xfId="38">
      <alignment horizontal="left"/>
    </xf>
    <xf numFmtId="0" fontId="7" fillId="0" borderId="26" applyAlignment="1" pivotButton="0" quotePrefix="0" xfId="38">
      <alignment horizontal="center" vertical="center"/>
    </xf>
    <xf numFmtId="2" fontId="7" fillId="0" borderId="26" applyAlignment="1" applyProtection="1" pivotButton="0" quotePrefix="0" xfId="38">
      <alignment horizontal="center" vertical="center"/>
      <protection locked="0" hidden="0"/>
    </xf>
    <xf numFmtId="2" fontId="8" fillId="0" borderId="0" pivotButton="0" quotePrefix="0" xfId="38"/>
    <xf numFmtId="2" fontId="7" fillId="0" borderId="0" pivotButton="0" quotePrefix="0" xfId="38"/>
    <xf numFmtId="2" fontId="41" fillId="0" borderId="0" applyAlignment="1" pivotButton="0" quotePrefix="0" xfId="38">
      <alignment horizontal="left"/>
    </xf>
    <xf numFmtId="2" fontId="41" fillId="0" borderId="0" applyAlignment="1" applyProtection="1" pivotButton="0" quotePrefix="0" xfId="38">
      <alignment horizontal="left"/>
      <protection locked="0" hidden="0"/>
    </xf>
    <xf numFmtId="0" fontId="41" fillId="0" borderId="0" applyAlignment="1" pivotButton="0" quotePrefix="0" xfId="38">
      <alignment horizontal="right" vertical="center"/>
    </xf>
    <xf numFmtId="168" fontId="41" fillId="0" borderId="0" applyAlignment="1" pivotButton="0" quotePrefix="0" xfId="38">
      <alignment horizontal="left" vertical="center"/>
    </xf>
    <xf numFmtId="0" fontId="41" fillId="0" borderId="0" applyAlignment="1" applyProtection="1" pivotButton="0" quotePrefix="0" xfId="38">
      <alignment horizontal="right" vertical="center"/>
      <protection locked="0" hidden="0"/>
    </xf>
    <xf numFmtId="168" fontId="41" fillId="0" borderId="0" applyAlignment="1" applyProtection="1" pivotButton="0" quotePrefix="0" xfId="38">
      <alignment horizontal="left" vertical="center"/>
      <protection locked="0" hidden="0"/>
    </xf>
    <xf numFmtId="167" fontId="41" fillId="0" borderId="0" applyAlignment="1" pivotButton="0" quotePrefix="0" xfId="38">
      <alignment horizontal="left"/>
    </xf>
    <xf numFmtId="167" fontId="41" fillId="0" borderId="0" applyAlignment="1" applyProtection="1" pivotButton="0" quotePrefix="0" xfId="38">
      <alignment horizontal="left"/>
      <protection locked="0" hidden="0"/>
    </xf>
    <xf numFmtId="168" fontId="8" fillId="0" borderId="0" applyAlignment="1" pivotButton="0" quotePrefix="0" xfId="38">
      <alignment horizontal="left"/>
    </xf>
    <xf numFmtId="168" fontId="41" fillId="0" borderId="0" applyAlignment="1" pivotButton="0" quotePrefix="0" xfId="38">
      <alignment horizontal="left"/>
    </xf>
    <xf numFmtId="168" fontId="41" fillId="0" borderId="0" applyAlignment="1" applyProtection="1" pivotButton="0" quotePrefix="0" xfId="38">
      <alignment horizontal="left"/>
      <protection locked="0" hidden="0"/>
    </xf>
    <xf numFmtId="168" fontId="7" fillId="0" borderId="0" applyAlignment="1" pivotButton="0" quotePrefix="0" xfId="38">
      <alignment horizontal="left"/>
    </xf>
    <xf numFmtId="169" fontId="41" fillId="0" borderId="0" applyAlignment="1" pivotButton="0" quotePrefix="0" xfId="38">
      <alignment horizontal="left"/>
    </xf>
    <xf numFmtId="169" fontId="41" fillId="0" borderId="0" applyAlignment="1" applyProtection="1" pivotButton="0" quotePrefix="0" xfId="38">
      <alignment horizontal="left"/>
      <protection locked="0" hidden="0"/>
    </xf>
    <xf numFmtId="0" fontId="41" fillId="0" borderId="0" applyAlignment="1" pivotButton="0" quotePrefix="0" xfId="38">
      <alignment horizontal="left" vertical="center"/>
    </xf>
    <xf numFmtId="0" fontId="41" fillId="0" borderId="0" applyAlignment="1" applyProtection="1" pivotButton="0" quotePrefix="0" xfId="38">
      <alignment horizontal="left" vertical="center"/>
      <protection locked="0" hidden="0"/>
    </xf>
    <xf numFmtId="0" fontId="7" fillId="11" borderId="0" applyAlignment="1" applyProtection="1" pivotButton="0" quotePrefix="0" xfId="17">
      <alignment horizontal="center" vertical="center"/>
      <protection locked="0" hidden="0"/>
    </xf>
    <xf numFmtId="11" fontId="7" fillId="11" borderId="0" applyAlignment="1" applyProtection="1" pivotButton="0" quotePrefix="0" xfId="17">
      <alignment horizontal="center" vertical="center"/>
      <protection locked="0" hidden="0"/>
    </xf>
    <xf numFmtId="168" fontId="7" fillId="11" borderId="0" applyAlignment="1" applyProtection="1" pivotButton="0" quotePrefix="0" xfId="17">
      <alignment horizontal="center" vertical="center"/>
      <protection locked="0" hidden="0"/>
    </xf>
    <xf numFmtId="168" fontId="7" fillId="0" borderId="0" applyAlignment="1" pivotButton="0" quotePrefix="0" xfId="38">
      <alignment horizontal="left" vertical="center"/>
    </xf>
    <xf numFmtId="11" fontId="7" fillId="0" borderId="0" applyAlignment="1" applyProtection="1" pivotButton="0" quotePrefix="0" xfId="38">
      <alignment horizontal="center" vertical="center"/>
      <protection locked="0" hidden="0"/>
    </xf>
    <xf numFmtId="168" fontId="7" fillId="0" borderId="0" applyAlignment="1" applyProtection="1" pivotButton="0" quotePrefix="0" xfId="38">
      <alignment horizontal="center" vertical="center"/>
      <protection locked="0" hidden="0"/>
    </xf>
    <xf numFmtId="0" fontId="41" fillId="0" borderId="0" applyAlignment="1" pivotButton="0" quotePrefix="0" xfId="38">
      <alignment horizontal="center" vertical="center"/>
    </xf>
    <xf numFmtId="0" fontId="41" fillId="0" borderId="0" applyAlignment="1" applyProtection="1" pivotButton="0" quotePrefix="0" xfId="38">
      <alignment horizontal="center" vertical="center"/>
      <protection locked="0" hidden="0"/>
    </xf>
    <xf numFmtId="0" fontId="41" fillId="0" borderId="0" pivotButton="0" quotePrefix="0" xfId="38"/>
    <xf numFmtId="0" fontId="41" fillId="0" borderId="0" applyProtection="1" pivotButton="0" quotePrefix="0" xfId="38">
      <protection locked="0" hidden="0"/>
    </xf>
    <xf numFmtId="0" fontId="7" fillId="0" borderId="26" applyAlignment="1" applyProtection="1" pivotButton="0" quotePrefix="0" xfId="38">
      <alignment horizontal="center" vertical="center"/>
      <protection locked="0" hidden="0"/>
    </xf>
    <xf numFmtId="11" fontId="7" fillId="0" borderId="26" applyAlignment="1" applyProtection="1" pivotButton="0" quotePrefix="0" xfId="38">
      <alignment horizontal="center" vertical="center"/>
      <protection locked="0" hidden="0"/>
    </xf>
    <xf numFmtId="168" fontId="7" fillId="0" borderId="26" applyAlignment="1" applyProtection="1" pivotButton="0" quotePrefix="0" xfId="38">
      <alignment horizontal="center" vertical="center"/>
      <protection locked="0" hidden="0"/>
    </xf>
    <xf numFmtId="0" fontId="41" fillId="0" borderId="26" applyAlignment="1" applyProtection="1" pivotButton="0" quotePrefix="0" xfId="38">
      <alignment horizontal="center" vertical="center"/>
      <protection locked="0" hidden="0"/>
    </xf>
    <xf numFmtId="0" fontId="41" fillId="0" borderId="26" applyAlignment="1" pivotButton="0" quotePrefix="0" xfId="38">
      <alignment horizontal="center" vertical="center"/>
    </xf>
    <xf numFmtId="0" fontId="7" fillId="0" borderId="26" applyProtection="1" pivotButton="0" quotePrefix="0" xfId="38">
      <protection locked="0" hidden="0"/>
    </xf>
    <xf numFmtId="0" fontId="37" fillId="0" borderId="0" applyAlignment="1" pivotButton="0" quotePrefix="0" xfId="1">
      <alignment horizontal="center" vertical="center" wrapText="1"/>
    </xf>
    <xf numFmtId="165" fontId="14" fillId="0" borderId="1" applyAlignment="1" pivotButton="0" quotePrefix="0" xfId="5">
      <alignment horizontal="center" vertical="center" wrapText="1"/>
    </xf>
    <xf numFmtId="0" fontId="32" fillId="0" borderId="0" applyAlignment="1" pivotButton="0" quotePrefix="0" xfId="0">
      <alignment horizontal="left" vertical="center" wrapText="1"/>
    </xf>
    <xf numFmtId="165" fontId="14" fillId="0" borderId="7" applyAlignment="1" pivotButton="0" quotePrefix="0" xfId="5">
      <alignment horizontal="center" vertical="center" wrapText="1"/>
    </xf>
    <xf numFmtId="0" fontId="14" fillId="0" borderId="18" applyAlignment="1" pivotButton="0" quotePrefix="0" xfId="5">
      <alignment horizontal="center" vertical="center" wrapText="1"/>
    </xf>
    <xf numFmtId="0" fontId="14" fillId="0" borderId="23" applyAlignment="1" pivotButton="0" quotePrefix="0" xfId="5">
      <alignment horizontal="center" vertical="center" wrapText="1"/>
    </xf>
    <xf numFmtId="0" fontId="14" fillId="0" borderId="22" applyAlignment="1" pivotButton="0" quotePrefix="0" xfId="5">
      <alignment horizontal="center" vertical="center" wrapText="1"/>
    </xf>
    <xf numFmtId="0" fontId="14" fillId="0" borderId="19" applyAlignment="1" pivotButton="0" quotePrefix="0" xfId="5">
      <alignment horizontal="center" vertical="center" wrapText="1"/>
    </xf>
    <xf numFmtId="0" fontId="16" fillId="0" borderId="0" applyAlignment="1" pivotButton="0" quotePrefix="0" xfId="5">
      <alignment horizontal="left" vertical="center" wrapText="1"/>
    </xf>
    <xf numFmtId="0" fontId="18" fillId="0" borderId="0" applyAlignment="1" pivotButton="0" quotePrefix="0" xfId="5">
      <alignment horizontal="left" vertical="center" wrapText="1"/>
    </xf>
    <xf numFmtId="0" fontId="18" fillId="0" borderId="2" applyAlignment="1" pivotButton="0" quotePrefix="0" xfId="6">
      <alignment horizontal="center" vertical="center" wrapText="1"/>
    </xf>
    <xf numFmtId="0" fontId="18" fillId="0" borderId="5" applyAlignment="1" pivotButton="0" quotePrefix="0" xfId="6">
      <alignment horizontal="center" vertical="center" wrapText="1"/>
    </xf>
    <xf numFmtId="0" fontId="18" fillId="0" borderId="3" applyAlignment="1" pivotButton="0" quotePrefix="0" xfId="6">
      <alignment horizontal="center" vertical="center" wrapText="1"/>
    </xf>
    <xf numFmtId="0" fontId="18" fillId="0" borderId="1" applyAlignment="1" pivotButton="0" quotePrefix="0" xfId="6">
      <alignment horizontal="center" vertical="center" wrapText="1"/>
    </xf>
    <xf numFmtId="0" fontId="18" fillId="0" borderId="4" applyAlignment="1" pivotButton="0" quotePrefix="0" xfId="6">
      <alignment horizontal="center" vertical="center" wrapText="1"/>
    </xf>
    <xf numFmtId="0" fontId="20" fillId="0" borderId="0" applyAlignment="1" pivotButton="0" quotePrefix="0" xfId="5">
      <alignment horizontal="left" vertical="center" wrapText="1"/>
    </xf>
    <xf numFmtId="0" fontId="14" fillId="0" borderId="0" applyAlignment="1" pivotButton="0" quotePrefix="0" xfId="5">
      <alignment horizontal="center" vertical="center" wrapText="1"/>
    </xf>
    <xf numFmtId="0" fontId="11" fillId="0" borderId="0" applyAlignment="1" pivotButton="0" quotePrefix="0" xfId="9">
      <alignment horizontal="left" vertical="center" wrapText="1"/>
    </xf>
    <xf numFmtId="0" fontId="22" fillId="0" borderId="10" applyAlignment="1" pivotButton="0" quotePrefix="0" xfId="9">
      <alignment horizontal="center" vertical="center" wrapText="1"/>
    </xf>
    <xf numFmtId="0" fontId="22" fillId="0" borderId="10" applyAlignment="1" pivotButton="0" quotePrefix="0" xfId="10">
      <alignment horizontal="center" vertical="center" wrapText="1"/>
    </xf>
    <xf numFmtId="0" fontId="11" fillId="0" borderId="0" applyAlignment="1" pivotButton="0" quotePrefix="0" xfId="9">
      <alignment horizontal="left" vertical="top" wrapText="1"/>
    </xf>
    <xf numFmtId="0" fontId="21" fillId="0" borderId="0" applyAlignment="1" pivotButton="0" quotePrefix="0" xfId="9">
      <alignment horizontal="left" vertical="top" wrapText="1"/>
    </xf>
    <xf numFmtId="0" fontId="7" fillId="0" borderId="11" applyAlignment="1" pivotButton="0" quotePrefix="0" xfId="0">
      <alignment horizontal="center"/>
    </xf>
    <xf numFmtId="0" fontId="11" fillId="3" borderId="4" applyAlignment="1" pivotButton="0" quotePrefix="0" xfId="33">
      <alignment horizontal="center" vertical="center" wrapText="1"/>
    </xf>
    <xf numFmtId="0" fontId="11" fillId="3" borderId="6" applyAlignment="1" pivotButton="0" quotePrefix="0" xfId="33">
      <alignment horizontal="center" vertical="center" wrapText="1"/>
    </xf>
    <xf numFmtId="0" fontId="11" fillId="0" borderId="0" applyAlignment="1" pivotButton="0" quotePrefix="0" xfId="9">
      <alignment horizontal="center" vertical="center" wrapText="1"/>
    </xf>
    <xf numFmtId="0" fontId="11" fillId="3" borderId="2" applyAlignment="1" pivotButton="0" quotePrefix="0" xfId="33">
      <alignment horizontal="center" vertical="center" wrapText="1"/>
    </xf>
    <xf numFmtId="0" fontId="11" fillId="3" borderId="5" applyAlignment="1" pivotButton="0" quotePrefix="0" xfId="33">
      <alignment horizontal="center" vertical="center" wrapText="1"/>
    </xf>
    <xf numFmtId="0" fontId="11" fillId="3" borderId="3" applyAlignment="1" pivotButton="0" quotePrefix="0" xfId="33">
      <alignment horizontal="center" vertical="center" wrapText="1"/>
    </xf>
    <xf numFmtId="0" fontId="11" fillId="3" borderId="1" applyAlignment="1" pivotButton="0" quotePrefix="0" xfId="33">
      <alignment horizontal="center" vertical="center" wrapText="1"/>
    </xf>
    <xf numFmtId="0" fontId="21" fillId="0" borderId="0" applyAlignment="1" pivotButton="0" quotePrefix="0" xfId="9">
      <alignment horizontal="left" vertical="center" wrapText="1"/>
    </xf>
    <xf numFmtId="0" fontId="8" fillId="0" borderId="10" applyAlignment="1" pivotButton="0" quotePrefix="0" xfId="9">
      <alignment horizontal="center" vertical="center"/>
    </xf>
    <xf numFmtId="0" fontId="7" fillId="0" borderId="11" applyAlignment="1" pivotButton="0" quotePrefix="0" xfId="16">
      <alignment horizontal="left" vertical="center" wrapText="1"/>
    </xf>
    <xf numFmtId="0" fontId="7" fillId="0" borderId="0" applyAlignment="1" pivotButton="0" quotePrefix="0" xfId="9">
      <alignment horizontal="left" vertical="center" wrapText="1"/>
    </xf>
    <xf numFmtId="0" fontId="31" fillId="0" borderId="0" applyAlignment="1" pivotButton="0" quotePrefix="0" xfId="0">
      <alignment vertical="center"/>
    </xf>
    <xf numFmtId="0" fontId="7" fillId="0" borderId="0" applyAlignment="1" pivotButton="0" quotePrefix="0" xfId="17">
      <alignment horizontal="center" vertical="center" wrapText="1"/>
    </xf>
    <xf numFmtId="0" fontId="7" fillId="0" borderId="10" applyAlignment="1" pivotButton="0" quotePrefix="0" xfId="17">
      <alignment horizontal="center" vertical="center" wrapText="1"/>
    </xf>
    <xf numFmtId="0" fontId="7" fillId="0" borderId="0"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0" applyAlignment="1" pivotButton="0" quotePrefix="0" xfId="17">
      <alignment horizontal="left" vertical="center" wrapText="1"/>
    </xf>
    <xf numFmtId="0" fontId="8" fillId="0" borderId="10" applyAlignment="1" pivotButton="0" quotePrefix="0" xfId="9">
      <alignment horizontal="center" vertical="center" wrapText="1"/>
    </xf>
    <xf numFmtId="0" fontId="8" fillId="0" borderId="17" applyAlignment="1" pivotButton="0" quotePrefix="0" xfId="17">
      <alignment horizontal="center" vertical="center" wrapText="1"/>
    </xf>
    <xf numFmtId="0" fontId="7" fillId="0" borderId="16" applyAlignment="1" pivotButton="0" quotePrefix="0" xfId="17">
      <alignment horizontal="center" vertical="center" wrapText="1"/>
    </xf>
    <xf numFmtId="0" fontId="7" fillId="0" borderId="16" applyAlignment="1" pivotButton="0" quotePrefix="0" xfId="0">
      <alignment horizontal="center" vertical="center" wrapText="1"/>
    </xf>
    <xf numFmtId="0" fontId="11" fillId="0" borderId="0" applyAlignment="1" pivotButton="0" quotePrefix="0" xfId="0">
      <alignment horizontal="left" vertical="center" wrapText="1"/>
    </xf>
    <xf numFmtId="0" fontId="22" fillId="0" borderId="0" applyAlignment="1" pivotButton="0" quotePrefix="0" xfId="10">
      <alignment horizontal="left" vertical="center" wrapText="1"/>
    </xf>
    <xf numFmtId="0" fontId="11" fillId="0" borderId="0" applyAlignment="1" pivotButton="0" quotePrefix="0" xfId="12">
      <alignment horizontal="left" vertical="center" wrapText="1"/>
    </xf>
    <xf numFmtId="0" fontId="11" fillId="0" borderId="10" applyAlignment="1" pivotButton="0" quotePrefix="0" xfId="0">
      <alignment horizontal="left" vertical="center"/>
    </xf>
    <xf numFmtId="0" fontId="11" fillId="0" borderId="11" applyAlignment="1" pivotButton="0" quotePrefix="0" xfId="10">
      <alignment horizontal="center" vertical="center" wrapText="1"/>
    </xf>
    <xf numFmtId="0" fontId="22" fillId="0" borderId="0" applyAlignment="1" pivotButton="0" quotePrefix="0" xfId="9">
      <alignment horizontal="left" vertical="center" wrapText="1"/>
    </xf>
    <xf numFmtId="0" fontId="7" fillId="10" borderId="0" applyAlignment="1" pivotButton="0" quotePrefix="0" xfId="38">
      <alignment horizontal="center" vertical="center"/>
    </xf>
    <xf numFmtId="0" fontId="38" fillId="6" borderId="0" applyAlignment="1" pivotButton="0" quotePrefix="0" xfId="38">
      <alignment horizontal="center" vertical="center" wrapText="1"/>
    </xf>
    <xf numFmtId="0" fontId="38" fillId="6" borderId="0" applyAlignment="1" pivotButton="0" quotePrefix="0" xfId="38">
      <alignment horizontal="center" vertical="center"/>
    </xf>
    <xf numFmtId="0" fontId="39" fillId="6" borderId="0" applyAlignment="1" pivotButton="0" quotePrefix="0" xfId="38">
      <alignment horizontal="center" vertical="center"/>
    </xf>
    <xf numFmtId="0" fontId="11" fillId="10" borderId="0" applyAlignment="1" pivotButton="0" quotePrefix="0" xfId="38">
      <alignment horizontal="center" vertical="center"/>
    </xf>
    <xf numFmtId="2" fontId="7" fillId="0" borderId="0" applyAlignment="1" pivotButton="0" quotePrefix="0" xfId="38">
      <alignment horizontal="center" vertical="center"/>
    </xf>
    <xf numFmtId="164" fontId="8" fillId="0" borderId="1" applyAlignment="1" pivotButton="0" quotePrefix="0" xfId="32">
      <alignment horizontal="left" vertical="center" wrapText="1"/>
    </xf>
    <xf numFmtId="0" fontId="14" fillId="0" borderId="5" applyAlignment="1" pivotButton="0" quotePrefix="0" xfId="5">
      <alignment horizontal="center" vertical="center" wrapText="1"/>
    </xf>
    <xf numFmtId="165" fontId="7" fillId="0" borderId="1" applyAlignment="1" pivotButton="0" quotePrefix="0" xfId="0">
      <alignment horizontal="center" vertical="center" wrapText="1"/>
    </xf>
    <xf numFmtId="165" fontId="7" fillId="0" borderId="6" applyAlignment="1" pivotButton="0" quotePrefix="0" xfId="0">
      <alignment horizontal="center" vertical="center" wrapText="1"/>
    </xf>
    <xf numFmtId="0" fontId="0" fillId="0" borderId="22" pivotButton="0" quotePrefix="0" xfId="0"/>
    <xf numFmtId="165" fontId="7" fillId="0" borderId="20" applyAlignment="1" pivotButton="0" quotePrefix="0" xfId="0">
      <alignment horizontal="center" vertical="center" wrapText="1"/>
    </xf>
    <xf numFmtId="165" fontId="7" fillId="0" borderId="21" applyAlignment="1" pivotButton="0" quotePrefix="0" xfId="0">
      <alignment horizontal="center" vertical="center" wrapText="1"/>
    </xf>
    <xf numFmtId="0" fontId="14" fillId="0" borderId="9" applyAlignment="1" pivotButton="0" quotePrefix="0" xfId="5">
      <alignment horizontal="center" vertical="center" wrapText="1"/>
    </xf>
    <xf numFmtId="0" fontId="0" fillId="0" borderId="19" pivotButton="0" quotePrefix="0" xfId="0"/>
    <xf numFmtId="165" fontId="7" fillId="0" borderId="7" applyAlignment="1" pivotButton="0" quotePrefix="0" xfId="0">
      <alignment horizontal="center" vertical="center" wrapText="1"/>
    </xf>
    <xf numFmtId="165" fontId="7" fillId="0" borderId="8" applyAlignment="1" pivotButton="0" quotePrefix="0" xfId="0">
      <alignment horizontal="center" vertical="center" wrapText="1"/>
    </xf>
    <xf numFmtId="0" fontId="0" fillId="0" borderId="13" pivotButton="0" quotePrefix="0" xfId="0"/>
    <xf numFmtId="0" fontId="0" fillId="0" borderId="31" pivotButton="0" quotePrefix="0" xfId="0"/>
    <xf numFmtId="0" fontId="0" fillId="0" borderId="29" pivotButton="0" quotePrefix="0" xfId="0"/>
    <xf numFmtId="165" fontId="14" fillId="0" borderId="1" applyAlignment="1" pivotButton="0" quotePrefix="0" xfId="5">
      <alignment horizontal="center" vertical="center" wrapText="1"/>
    </xf>
    <xf numFmtId="165" fontId="11" fillId="2" borderId="1" applyAlignment="1" pivotButton="0" quotePrefix="0" xfId="8">
      <alignment horizontal="center" vertical="center" wrapText="1"/>
    </xf>
    <xf numFmtId="165" fontId="11" fillId="2" borderId="6" applyAlignment="1" pivotButton="0" quotePrefix="0" xfId="8">
      <alignment horizontal="center" vertical="center" wrapText="1"/>
    </xf>
    <xf numFmtId="0" fontId="0" fillId="0" borderId="23" pivotButton="0" quotePrefix="0" xfId="0"/>
    <xf numFmtId="165" fontId="14" fillId="0" borderId="7" applyAlignment="1" pivotButton="0" quotePrefix="0" xfId="5">
      <alignment horizontal="center" vertical="center" wrapText="1"/>
    </xf>
    <xf numFmtId="165" fontId="11" fillId="2" borderId="7" applyAlignment="1" pivotButton="0" quotePrefix="0" xfId="8">
      <alignment horizontal="center" vertical="center" wrapText="1"/>
    </xf>
    <xf numFmtId="165" fontId="11" fillId="2" borderId="8" applyAlignment="1" pivotButton="0" quotePrefix="0" xfId="8">
      <alignment horizontal="center" vertical="center" wrapText="1"/>
    </xf>
    <xf numFmtId="0" fontId="0" fillId="0" borderId="10" pivotButton="0" quotePrefix="0" xfId="0"/>
    <xf numFmtId="0" fontId="0" fillId="0" borderId="11" pivotButton="0" quotePrefix="0" xfId="0"/>
    <xf numFmtId="0" fontId="0" fillId="0" borderId="32" pivotButton="0" quotePrefix="0" xfId="0"/>
    <xf numFmtId="0" fontId="0" fillId="0" borderId="17" pivotButton="0" quotePrefix="0" xfId="0"/>
    <xf numFmtId="0" fontId="0" fillId="0" borderId="16" pivotButton="0" quotePrefix="0" xfId="0"/>
  </cellXfs>
  <cellStyles count="40">
    <cellStyle name="Normal" xfId="0" builtinId="0"/>
    <cellStyle name="常规 4 2 2 2" xfId="1"/>
    <cellStyle name="常规 2 2 2" xfId="2"/>
    <cellStyle name="常规 11" xfId="3"/>
    <cellStyle name="常规 5" xfId="4"/>
    <cellStyle name="常规 4 4" xfId="5"/>
    <cellStyle name="常规_ADME-KWK-LM-W020" xfId="6"/>
    <cellStyle name="常规 12" xfId="7"/>
    <cellStyle name="常规 6 2" xfId="8"/>
    <cellStyle name="常规 3 2 2" xfId="9"/>
    <cellStyle name="常规 7" xfId="10"/>
    <cellStyle name="常规 16" xfId="11"/>
    <cellStyle name="常规 2 3 9" xfId="12"/>
    <cellStyle name="常规 20" xfId="13"/>
    <cellStyle name="常规 4 4 2" xfId="14"/>
    <cellStyle name="常规 3 2 2 2 2" xfId="15"/>
    <cellStyle name="常规 7 2" xfId="16"/>
    <cellStyle name="常规 2" xfId="17"/>
    <cellStyle name="常规 11 2" xfId="18"/>
    <cellStyle name="常规 12 2" xfId="19"/>
    <cellStyle name="常规 2 10 4" xfId="20"/>
    <cellStyle name="常规 2 3" xfId="21"/>
    <cellStyle name="常规 21" xfId="22"/>
    <cellStyle name="常规 25" xfId="23"/>
    <cellStyle name="常规 3 2 2 2" xfId="24"/>
    <cellStyle name="常规 4 2 2 2 2" xfId="25"/>
    <cellStyle name="常规 11 3" xfId="26"/>
    <cellStyle name="常规 4 2 2 2 3" xfId="27"/>
    <cellStyle name="常规 12 3" xfId="28"/>
    <cellStyle name="常规 7 3" xfId="29"/>
    <cellStyle name="常规 20 2" xfId="30"/>
    <cellStyle name="常规 21 2" xfId="31"/>
    <cellStyle name="常规 2 10 3" xfId="32"/>
    <cellStyle name="常规 10" xfId="33"/>
    <cellStyle name="适中 2" xfId="34"/>
    <cellStyle name="常规 4 5" xfId="35"/>
    <cellStyle name="常规 3 2 2 3" xfId="36"/>
    <cellStyle name="常规 4 4 2 2" xfId="37"/>
    <cellStyle name="常规 17" xfId="38"/>
    <cellStyle name="Per cent" xfId="39" builtinId="5"/>
  </cellStyles>
  <dxfs count="30">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strRef>
          <f>[1]HLM!$A$3</f>
          <strCache>
            <ptCount val="1"/>
            <pt idx="0">
              <v>Verapamil</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manualLayout>
          <layoutTarget val="inner"/>
          <xMode val="edge"/>
          <yMode val="edge"/>
          <wMode val="factor"/>
          <hMode val="factor"/>
          <x val="0.1585243244709861"/>
          <y val="0.08230385132858102"/>
          <w val="0.8052550397826352"/>
          <h val="0.7970818608510489"/>
        </manualLayout>
      </layout>
      <scatterChart>
        <scatterStyle val="lineMarker"/>
        <varyColors val="0"/>
        <ser>
          <idx val="0"/>
          <order val="0"/>
          <tx>
            <strRef>
              <f>[2]HLM!$A$3</f>
              <strCache>
                <ptCount val="1"/>
                <pt idx="0">
                  <v>Verapamil</v>
                </pt>
              </strCache>
            </strRef>
          </tx>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linear"/>
            <dispRSqr val="1"/>
            <dispEq val="1"/>
            <trendlineLbl>
              <layout>
                <manualLayout>
                  <wMode val="factor"/>
                  <hMode val="factor"/>
                  <x val="0.1668151035017847"/>
                  <y val="-0.6786629099922095"/>
                </manualLayout>
              </layout>
              <numFmt formatCode="General"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trendlineLbl>
          </trendline>
          <xVal>
            <numRef>
              <f>[1]HLM!$J$3:$J$8</f>
              <numCache>
                <formatCode>General</formatCode>
                <ptCount val="6"/>
                <pt idx="0">
                  <v>0.5</v>
                </pt>
                <pt idx="1">
                  <v>5</v>
                </pt>
                <pt idx="2">
                  <v>15</v>
                </pt>
                <pt idx="3">
                  <v>30</v>
                </pt>
                <pt idx="4">
                  <v>60</v>
                </pt>
              </numCache>
            </numRef>
          </xVal>
          <yVal>
            <numRef>
              <f>[1]HLM!$R$3:$R$8</f>
              <numCache>
                <formatCode>General</formatCode>
                <ptCount val="6"/>
                <pt idx="0">
                  <v>4.605170185988092</v>
                </pt>
                <pt idx="1">
                  <v>4.009713288700457</v>
                </pt>
                <pt idx="2">
                  <v>2.757459670975308</v>
                </pt>
                <pt idx="3">
                  <v>#N/A</v>
                </pt>
                <pt idx="4">
                  <v>#N/A</v>
                </pt>
              </numCache>
            </numRef>
          </yVal>
          <smooth val="0"/>
        </ser>
        <dLbls>
          <showLegendKey val="0"/>
          <showVal val="0"/>
          <showCatName val="0"/>
          <showSerName val="0"/>
          <showPercent val="0"/>
          <showBubbleSize val="0"/>
        </dLbls>
        <axId val="608961712"/>
        <axId val="608961056"/>
      </scatterChart>
      <valAx>
        <axId val="608961712"/>
        <scaling>
          <orientation val="minMax"/>
        </scaling>
        <delete val="0"/>
        <axPos val="b"/>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strRef>
          <f>[1]HLM!$A$4</f>
          <strCache>
            <ptCount val="1"/>
            <pt idx="0">
              <v>Stability of Verapamil in ata.xlsx]HLM</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scatterChart>
        <scatterStyle val="smoothMarker"/>
        <varyColors val="0"/>
        <ser>
          <idx val="0"/>
          <order val="0"/>
          <tx>
            <strRef>
              <f>[2]HLM!$P$2</f>
              <strCache>
                <ptCount val="1"/>
                <pt idx="0">
                  <v>Mean of %Remaining</v>
                </pt>
              </strCache>
            </strRef>
          </tx>
          <spPr>
            <a:ln w="19050" cap="rnd">
              <a:solidFill>
                <a:schemeClr val="accent1"/>
              </a:solidFill>
              <a:prstDash val="solid"/>
              <a:round/>
            </a:ln>
          </spPr>
          <marker>
            <symbol val="circle"/>
            <size val="5"/>
            <spPr>
              <a:solidFill>
                <a:schemeClr val="accent1"/>
              </a:solidFill>
              <a:ln w="9525">
                <a:solidFill>
                  <a:schemeClr val="accent1"/>
                </a:solidFill>
                <a:prstDash val="solid"/>
              </a:ln>
            </spPr>
          </marker>
          <xVal>
            <numRef>
              <f>[1]HLM!$J$3:$J$8</f>
              <numCache>
                <formatCode>General</formatCode>
                <ptCount val="6"/>
                <pt idx="0">
                  <v>0.5</v>
                </pt>
                <pt idx="1">
                  <v>5</v>
                </pt>
                <pt idx="2">
                  <v>15</v>
                </pt>
                <pt idx="3">
                  <v>30</v>
                </pt>
                <pt idx="4">
                  <v>60</v>
                </pt>
              </numCache>
            </numRef>
          </xVal>
          <yVal>
            <numRef>
              <f>[1]HLM!$P$3:$P$8</f>
              <numCache>
                <formatCode>General</formatCode>
                <ptCount val="6"/>
                <pt idx="0">
                  <v>100</v>
                </pt>
                <pt idx="1">
                  <v>55.1310615989515</v>
                </pt>
                <pt idx="2">
                  <v>15.75975708583034</v>
                </pt>
                <pt idx="3">
                  <v>5.29595409842626</v>
                </pt>
                <pt idx="4">
                  <v>1.36445129210729</v>
                </pt>
              </numCache>
            </numRef>
          </yVal>
          <smooth val="1"/>
        </ser>
        <ser>
          <idx val="1"/>
          <order val="1"/>
          <tx>
            <strRef>
              <f>[2]HLM!$M$2</f>
              <strCache>
                <ptCount val="1"/>
                <pt idx="0">
                  <v>%Remaining-N</v>
                </pt>
              </strCache>
            </strRef>
          </tx>
          <spPr>
            <a:ln w="19050" cap="rnd">
              <a:solidFill>
                <a:schemeClr val="accent4"/>
              </a:solidFill>
              <a:prstDash val="solid"/>
              <a:round/>
            </a:ln>
          </spPr>
          <marker>
            <symbol val="circle"/>
            <size val="5"/>
            <spPr>
              <a:solidFill>
                <a:sysClr val="window" lastClr="FFFFFF"/>
              </a:solidFill>
              <a:ln w="9525">
                <a:solidFill>
                  <a:schemeClr val="accent4"/>
                </a:solidFill>
                <a:prstDash val="solid"/>
              </a:ln>
            </spPr>
          </marker>
          <xVal>
            <numRef>
              <f>[1]HLM!$J$3:$J$8</f>
              <numCache>
                <formatCode>General</formatCode>
                <ptCount val="6"/>
                <pt idx="0">
                  <v>0.5</v>
                </pt>
                <pt idx="1">
                  <v>5</v>
                </pt>
                <pt idx="2">
                  <v>15</v>
                </pt>
                <pt idx="3">
                  <v>30</v>
                </pt>
                <pt idx="4">
                  <v>60</v>
                </pt>
              </numCache>
            </numRef>
          </xVal>
          <yVal>
            <numRef>
              <f>[1]HLM!$M$3:$M$8</f>
              <numCache>
                <formatCode>General</formatCode>
                <ptCount val="6"/>
                <pt idx="0">
                  <v>100</v>
                </pt>
                <pt idx="4">
                  <v>109.9009900990099</v>
                </pt>
              </numCache>
            </numRef>
          </yVal>
          <smooth val="1"/>
        </ser>
        <dLbls>
          <showLegendKey val="0"/>
          <showVal val="0"/>
          <showCatName val="0"/>
          <showSerName val="0"/>
          <showPercent val="0"/>
          <showBubbleSize val="0"/>
        </dLbls>
        <axId val="608961712"/>
        <axId val="608961056"/>
      </scatterChart>
      <valAx>
        <axId val="608961712"/>
        <scaling>
          <orientation val="minMax"/>
          <max val="60"/>
        </scaling>
        <delete val="0"/>
        <axPos val="b"/>
        <title>
          <tx>
            <strRef>
              <f>[2]MMLM!$J$2</f>
              <strCache>
                <ptCount val="1"/>
                <pt idx="0">
                  <v>Time (min)</v>
                </pt>
              </strCache>
            </strRef>
          </tx>
          <overlay val="0"/>
          <spPr>
            <a:noFill/>
            <a:ln>
              <a:noFill/>
              <a:prstDash val="solid"/>
            </a:ln>
          </spPr>
          <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title>
          <tx>
            <strRef>
              <f>[2]MMLM!$P$2</f>
              <strCache>
                <ptCount val="1"/>
                <pt idx="0">
                  <v>Mean of %Remaining</v>
                </pt>
              </strCache>
            </strRef>
          </tx>
          <overlay val="0"/>
          <spPr>
            <a:noFill/>
            <a:ln>
              <a:noFill/>
              <a:prstDash val="solid"/>
            </a:ln>
          </spPr>
          <txPr>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span"/>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strRef>
          <f>[1]HLM!$A$25</f>
          <strCache>
            <ptCount val="1"/>
            <pt idx="0">
              <v>PH-NTU-03-L1-559-0</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manualLayout>
          <layoutTarget val="inner"/>
          <xMode val="edge"/>
          <yMode val="edge"/>
          <wMode val="factor"/>
          <hMode val="factor"/>
          <x val="0.1585243244709861"/>
          <y val="0.08230385132858102"/>
          <w val="0.8052550397826352"/>
          <h val="0.7970818608510489"/>
        </manualLayout>
      </layout>
      <scatterChart>
        <scatterStyle val="lineMarker"/>
        <varyColors val="0"/>
        <ser>
          <idx val="0"/>
          <order val="0"/>
          <tx>
            <strRef>
              <f>[2]HLM!$A$3</f>
              <strCache>
                <ptCount val="1"/>
                <pt idx="0">
                  <v>Verapamil</v>
                </pt>
              </strCache>
            </strRef>
          </tx>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linear"/>
            <dispRSqr val="1"/>
            <dispEq val="1"/>
            <trendlineLbl>
              <layout>
                <manualLayout>
                  <wMode val="factor"/>
                  <hMode val="factor"/>
                  <x val="0.1668151035017847"/>
                  <y val="-0.6786629099922095"/>
                </manualLayout>
              </layout>
              <numFmt formatCode="General"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trendlineLbl>
          </trendline>
          <xVal>
            <numRef>
              <f>[1]HLM!$J$25:$J$30</f>
              <numCache>
                <formatCode>General</formatCode>
                <ptCount val="6"/>
                <pt idx="0">
                  <v>0.5</v>
                </pt>
                <pt idx="1">
                  <v>5</v>
                </pt>
                <pt idx="2">
                  <v>15</v>
                </pt>
                <pt idx="3">
                  <v>30</v>
                </pt>
                <pt idx="4">
                  <v>60</v>
                </pt>
              </numCache>
            </numRef>
          </xVal>
          <yVal>
            <numRef>
              <f>[1]HLM!$R$25:$R$30</f>
              <numCache>
                <formatCode>General</formatCode>
                <ptCount val="6"/>
                <pt idx="0">
                  <v>4.605170185988092</v>
                </pt>
                <pt idx="1">
                  <v>4.494019295478272</v>
                </pt>
                <pt idx="2">
                  <v>4.369680481738864</v>
                </pt>
                <pt idx="3">
                  <v>4.221254733339512</v>
                </pt>
                <pt idx="4">
                  <v>3.801232145448747</v>
                </pt>
              </numCache>
            </numRef>
          </yVal>
          <smooth val="0"/>
        </ser>
        <dLbls>
          <showLegendKey val="0"/>
          <showVal val="0"/>
          <showCatName val="0"/>
          <showSerName val="0"/>
          <showPercent val="0"/>
          <showBubbleSize val="0"/>
        </dLbls>
        <axId val="608961712"/>
        <axId val="608961056"/>
      </scatterChart>
      <valAx>
        <axId val="608961712"/>
        <scaling>
          <orientation val="minMax"/>
        </scaling>
        <delete val="0"/>
        <axPos val="b"/>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strRef>
          <f>[1]HLM!$A$26</f>
          <strCache>
            <ptCount val="1"/>
            <pt idx="0">
              <v>Stability of PH-NTU-03-L1-559-0 in ata.xlsx]HLM</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scatterChart>
        <scatterStyle val="smoothMarker"/>
        <varyColors val="0"/>
        <ser>
          <idx val="0"/>
          <order val="0"/>
          <tx>
            <strRef>
              <f>[2]HLM!$P$2</f>
              <strCache>
                <ptCount val="1"/>
                <pt idx="0">
                  <v>Mean of %Remaining</v>
                </pt>
              </strCache>
            </strRef>
          </tx>
          <spPr>
            <a:ln w="19050" cap="rnd">
              <a:solidFill>
                <a:schemeClr val="accent1"/>
              </a:solidFill>
              <a:prstDash val="solid"/>
              <a:round/>
            </a:ln>
          </spPr>
          <marker>
            <symbol val="circle"/>
            <size val="5"/>
            <spPr>
              <a:solidFill>
                <a:schemeClr val="accent1"/>
              </a:solidFill>
              <a:ln w="9525">
                <a:solidFill>
                  <a:schemeClr val="accent1"/>
                </a:solidFill>
                <a:prstDash val="solid"/>
              </a:ln>
            </spPr>
          </marker>
          <xVal>
            <numRef>
              <f>[1]HLM!$J$25:$J$30</f>
              <numCache>
                <formatCode>General</formatCode>
                <ptCount val="6"/>
                <pt idx="0">
                  <v>0.5</v>
                </pt>
                <pt idx="1">
                  <v>5</v>
                </pt>
                <pt idx="2">
                  <v>15</v>
                </pt>
                <pt idx="3">
                  <v>30</v>
                </pt>
                <pt idx="4">
                  <v>60</v>
                </pt>
              </numCache>
            </numRef>
          </xVal>
          <yVal>
            <numRef>
              <f>[1]HLM!$P$25:$P$30</f>
              <numCache>
                <formatCode>General</formatCode>
                <ptCount val="6"/>
                <pt idx="0">
                  <v>100</v>
                </pt>
                <pt idx="1">
                  <v>89.48037213523941</v>
                </pt>
                <pt idx="2">
                  <v>79.01837985023826</v>
                </pt>
                <pt idx="3">
                  <v>68.11890174722033</v>
                </pt>
                <pt idx="4">
                  <v>44.75629680054459</v>
                </pt>
              </numCache>
            </numRef>
          </yVal>
          <smooth val="1"/>
        </ser>
        <ser>
          <idx val="1"/>
          <order val="1"/>
          <tx>
            <strRef>
              <f>[2]HLM!$M$2</f>
              <strCache>
                <ptCount val="1"/>
                <pt idx="0">
                  <v>%Remaining-N</v>
                </pt>
              </strCache>
            </strRef>
          </tx>
          <spPr>
            <a:ln w="19050" cap="rnd">
              <a:solidFill>
                <a:schemeClr val="accent2"/>
              </a:solidFill>
              <a:prstDash val="solid"/>
              <a:round/>
            </a:ln>
          </spPr>
          <marker>
            <symbol val="circle"/>
            <size val="5"/>
            <spPr>
              <a:solidFill>
                <a:sysClr val="window" lastClr="FFFFFF"/>
              </a:solidFill>
              <a:ln w="9525">
                <a:solidFill>
                  <a:schemeClr val="accent4"/>
                </a:solidFill>
                <a:prstDash val="solid"/>
              </a:ln>
            </spPr>
          </marker>
          <xVal>
            <numRef>
              <f>[1]HLM!$J$25:$J$30</f>
              <numCache>
                <formatCode>General</formatCode>
                <ptCount val="6"/>
                <pt idx="0">
                  <v>0.5</v>
                </pt>
                <pt idx="1">
                  <v>5</v>
                </pt>
                <pt idx="2">
                  <v>15</v>
                </pt>
                <pt idx="3">
                  <v>30</v>
                </pt>
                <pt idx="4">
                  <v>60</v>
                </pt>
              </numCache>
            </numRef>
          </xVal>
          <yVal>
            <numRef>
              <f>[1]HLM!$M$25:$M$30</f>
              <numCache>
                <formatCode>General</formatCode>
                <ptCount val="6"/>
                <pt idx="0">
                  <v>100</v>
                </pt>
                <pt idx="4">
                  <v>104.8543689320388</v>
                </pt>
              </numCache>
            </numRef>
          </yVal>
          <smooth val="1"/>
        </ser>
        <dLbls>
          <showLegendKey val="0"/>
          <showVal val="0"/>
          <showCatName val="0"/>
          <showSerName val="0"/>
          <showPercent val="0"/>
          <showBubbleSize val="0"/>
        </dLbls>
        <axId val="608961712"/>
        <axId val="608961056"/>
      </scatterChart>
      <valAx>
        <axId val="608961712"/>
        <scaling>
          <orientation val="minMax"/>
          <max val="60"/>
        </scaling>
        <delete val="0"/>
        <axPos val="b"/>
        <title>
          <tx>
            <strRef>
              <f>[2]MMLM!$J$2</f>
              <strCache>
                <ptCount val="1"/>
                <pt idx="0">
                  <v>Time (min)</v>
                </pt>
              </strCache>
            </strRef>
          </tx>
          <overlay val="0"/>
          <spPr>
            <a:noFill/>
            <a:ln>
              <a:noFill/>
              <a:prstDash val="solid"/>
            </a:ln>
          </spPr>
          <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title>
          <tx>
            <strRef>
              <f>[2]MMLM!$P$2</f>
              <strCache>
                <ptCount val="1"/>
                <pt idx="0">
                  <v>Mean of %Remaining</v>
                </pt>
              </strCache>
            </strRef>
          </tx>
          <overlay val="0"/>
          <spPr>
            <a:noFill/>
            <a:ln>
              <a:noFill/>
              <a:prstDash val="solid"/>
            </a:ln>
          </spPr>
          <txPr>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span"/>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strRef>
          <f>[1]MMLM!$A$3</f>
          <strCache>
            <ptCount val="1"/>
            <pt idx="0">
              <v>Verapamil</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manualLayout>
          <layoutTarget val="inner"/>
          <xMode val="edge"/>
          <yMode val="edge"/>
          <wMode val="factor"/>
          <hMode val="factor"/>
          <x val="0.1585243244709861"/>
          <y val="0.08230385132858102"/>
          <w val="0.8052550397826352"/>
          <h val="0.7970818608510489"/>
        </manualLayout>
      </layout>
      <scatterChart>
        <scatterStyle val="lineMarker"/>
        <varyColors val="0"/>
        <ser>
          <idx val="0"/>
          <order val="0"/>
          <tx>
            <strRef>
              <f>[2]HLM!$A$3</f>
              <strCache>
                <ptCount val="1"/>
                <pt idx="0">
                  <v>Verapamil</v>
                </pt>
              </strCache>
            </strRef>
          </tx>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linear"/>
            <dispRSqr val="1"/>
            <dispEq val="1"/>
            <trendlineLbl>
              <layout>
                <manualLayout>
                  <wMode val="factor"/>
                  <hMode val="factor"/>
                  <x val="0.1668151035017847"/>
                  <y val="-0.6786629099922095"/>
                </manualLayout>
              </layout>
              <numFmt formatCode="General"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trendlineLbl>
          </trendline>
          <xVal>
            <numRef>
              <f>[1]MMLM!$J$3:$J$8</f>
              <numCache>
                <formatCode>General</formatCode>
                <ptCount val="6"/>
                <pt idx="0">
                  <v>0.5</v>
                </pt>
                <pt idx="1">
                  <v>5</v>
                </pt>
                <pt idx="2">
                  <v>15</v>
                </pt>
                <pt idx="3">
                  <v>30</v>
                </pt>
                <pt idx="4">
                  <v>60</v>
                </pt>
              </numCache>
            </numRef>
          </xVal>
          <yVal>
            <numRef>
              <f>[1]MMLM!$R$3:$R$8</f>
              <numCache>
                <formatCode>General</formatCode>
                <ptCount val="6"/>
                <pt idx="0">
                  <v>4.605170185988092</v>
                </pt>
                <pt idx="1">
                  <v>3.301624109610086</v>
                </pt>
                <pt idx="2">
                  <v>#N/A</v>
                </pt>
                <pt idx="3">
                  <v>#N/A</v>
                </pt>
                <pt idx="4">
                  <v>#N/A</v>
                </pt>
              </numCache>
            </numRef>
          </yVal>
          <smooth val="0"/>
        </ser>
        <dLbls>
          <showLegendKey val="0"/>
          <showVal val="0"/>
          <showCatName val="0"/>
          <showSerName val="0"/>
          <showPercent val="0"/>
          <showBubbleSize val="0"/>
        </dLbls>
        <axId val="608961712"/>
        <axId val="608961056"/>
      </scatterChart>
      <valAx>
        <axId val="608961712"/>
        <scaling>
          <orientation val="minMax"/>
        </scaling>
        <delete val="0"/>
        <axPos val="b"/>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strRef>
          <f>[1]MMLM!$A$4</f>
          <strCache>
            <ptCount val="1"/>
            <pt idx="0">
              <v>Stability of Verapamil in ata.xlsx]MMLM</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scatterChart>
        <scatterStyle val="smoothMarker"/>
        <varyColors val="0"/>
        <ser>
          <idx val="0"/>
          <order val="0"/>
          <tx>
            <strRef>
              <f>[2]HLM!$P$2</f>
              <strCache>
                <ptCount val="1"/>
                <pt idx="0">
                  <v>Mean of %Remaining</v>
                </pt>
              </strCache>
            </strRef>
          </tx>
          <spPr>
            <a:ln w="19050" cap="rnd">
              <a:solidFill>
                <a:schemeClr val="accent1"/>
              </a:solidFill>
              <a:prstDash val="solid"/>
              <a:round/>
            </a:ln>
          </spPr>
          <marker>
            <symbol val="circle"/>
            <size val="5"/>
            <spPr>
              <a:solidFill>
                <a:schemeClr val="accent1"/>
              </a:solidFill>
              <a:ln w="9525">
                <a:solidFill>
                  <a:schemeClr val="accent1"/>
                </a:solidFill>
                <a:prstDash val="solid"/>
              </a:ln>
            </spPr>
          </marker>
          <xVal>
            <numRef>
              <f>[1]MMLM!$J$3:$J$8</f>
              <numCache>
                <formatCode>General</formatCode>
                <ptCount val="6"/>
                <pt idx="0">
                  <v>0.5</v>
                </pt>
                <pt idx="1">
                  <v>5</v>
                </pt>
                <pt idx="2">
                  <v>15</v>
                </pt>
                <pt idx="3">
                  <v>30</v>
                </pt>
                <pt idx="4">
                  <v>60</v>
                </pt>
              </numCache>
            </numRef>
          </xVal>
          <yVal>
            <numRef>
              <f>[1]MMLM!$P$3:$P$8</f>
              <numCache>
                <formatCode>General</formatCode>
                <ptCount val="6"/>
                <pt idx="0">
                  <v>100</v>
                </pt>
                <pt idx="1">
                  <v>27.15670859538783</v>
                </pt>
                <pt idx="2">
                  <v>6.218378756114605</v>
                </pt>
                <pt idx="3">
                  <v>1.256114605171209</v>
                </pt>
                <pt idx="4">
                  <v>0</v>
                </pt>
              </numCache>
            </numRef>
          </yVal>
          <smooth val="1"/>
        </ser>
        <ser>
          <idx val="1"/>
          <order val="1"/>
          <tx>
            <strRef>
              <f>[2]HLM!$M$2</f>
              <strCache>
                <ptCount val="1"/>
                <pt idx="0">
                  <v>%Remaining-N</v>
                </pt>
              </strCache>
            </strRef>
          </tx>
          <spPr>
            <a:ln w="19050" cap="rnd">
              <a:solidFill>
                <a:schemeClr val="accent4"/>
              </a:solidFill>
              <a:prstDash val="solid"/>
              <a:round/>
            </a:ln>
          </spPr>
          <marker>
            <symbol val="circle"/>
            <size val="5"/>
            <spPr>
              <a:solidFill>
                <a:sysClr val="window" lastClr="FFFFFF"/>
              </a:solidFill>
              <a:ln w="9525">
                <a:solidFill>
                  <a:schemeClr val="accent4"/>
                </a:solidFill>
                <a:prstDash val="solid"/>
              </a:ln>
            </spPr>
          </marker>
          <xVal>
            <numRef>
              <f>[1]MMLM!$J$3:$J$8</f>
              <numCache>
                <formatCode>General</formatCode>
                <ptCount val="6"/>
                <pt idx="0">
                  <v>0.5</v>
                </pt>
                <pt idx="1">
                  <v>5</v>
                </pt>
                <pt idx="2">
                  <v>15</v>
                </pt>
                <pt idx="3">
                  <v>30</v>
                </pt>
                <pt idx="4">
                  <v>60</v>
                </pt>
              </numCache>
            </numRef>
          </xVal>
          <yVal>
            <numRef>
              <f>[1]MMLM!$M$3:$M$8</f>
              <numCache>
                <formatCode>General</formatCode>
                <ptCount val="6"/>
                <pt idx="0">
                  <v>99.99999999999999</v>
                </pt>
                <pt idx="4">
                  <v>101.6930022573363</v>
                </pt>
              </numCache>
            </numRef>
          </yVal>
          <smooth val="1"/>
        </ser>
        <dLbls>
          <showLegendKey val="0"/>
          <showVal val="0"/>
          <showCatName val="0"/>
          <showSerName val="0"/>
          <showPercent val="0"/>
          <showBubbleSize val="0"/>
        </dLbls>
        <axId val="608961712"/>
        <axId val="608961056"/>
      </scatterChart>
      <valAx>
        <axId val="608961712"/>
        <scaling>
          <orientation val="minMax"/>
          <max val="60"/>
        </scaling>
        <delete val="0"/>
        <axPos val="b"/>
        <title>
          <tx>
            <strRef>
              <f>[2]MMLM!$J$2</f>
              <strCache>
                <ptCount val="1"/>
                <pt idx="0">
                  <v>Time (min)</v>
                </pt>
              </strCache>
            </strRef>
          </tx>
          <overlay val="0"/>
          <spPr>
            <a:noFill/>
            <a:ln>
              <a:noFill/>
              <a:prstDash val="solid"/>
            </a:ln>
          </spPr>
          <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title>
          <tx>
            <strRef>
              <f>[2]MMLM!$P$2</f>
              <strCache>
                <ptCount val="1"/>
                <pt idx="0">
                  <v>Mean of %Remaining</v>
                </pt>
              </strCache>
            </strRef>
          </tx>
          <overlay val="0"/>
          <spPr>
            <a:noFill/>
            <a:ln>
              <a:noFill/>
              <a:prstDash val="solid"/>
            </a:ln>
          </spPr>
          <txPr>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span"/>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strRef>
          <f>[1]MMLM!$A$25</f>
          <strCache>
            <ptCount val="1"/>
            <pt idx="0">
              <v>PH-NTU-03-L1-559-0</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manualLayout>
          <layoutTarget val="inner"/>
          <xMode val="edge"/>
          <yMode val="edge"/>
          <wMode val="factor"/>
          <hMode val="factor"/>
          <x val="0.1585243244709861"/>
          <y val="0.08230385132858102"/>
          <w val="0.8052550397826352"/>
          <h val="0.7970818608510489"/>
        </manualLayout>
      </layout>
      <scatterChart>
        <scatterStyle val="lineMarker"/>
        <varyColors val="0"/>
        <ser>
          <idx val="0"/>
          <order val="0"/>
          <tx>
            <strRef>
              <f>[2]HLM!$A$3</f>
              <strCache>
                <ptCount val="1"/>
                <pt idx="0">
                  <v>Verapamil</v>
                </pt>
              </strCache>
            </strRef>
          </tx>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linear"/>
            <dispRSqr val="1"/>
            <dispEq val="1"/>
            <trendlineLbl>
              <layout>
                <manualLayout>
                  <wMode val="factor"/>
                  <hMode val="factor"/>
                  <x val="0.1668151035017847"/>
                  <y val="-0.6786629099922095"/>
                </manualLayout>
              </layout>
              <numFmt formatCode="General"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trendlineLbl>
          </trendline>
          <xVal>
            <numRef>
              <f>[1]MMLM!$J$25:$J$30</f>
              <numCache>
                <formatCode>General</formatCode>
                <ptCount val="6"/>
                <pt idx="0">
                  <v>0.5</v>
                </pt>
                <pt idx="1">
                  <v>5</v>
                </pt>
                <pt idx="2">
                  <v>15</v>
                </pt>
                <pt idx="3">
                  <v>30</v>
                </pt>
                <pt idx="4">
                  <v>60</v>
                </pt>
              </numCache>
            </numRef>
          </xVal>
          <yVal>
            <numRef>
              <f>[1]MMLM!$R$25:$R$30</f>
              <numCache>
                <formatCode>General</formatCode>
                <ptCount val="6"/>
                <pt idx="0">
                  <v>4.605170185988092</v>
                </pt>
                <pt idx="1">
                  <v>4.546796199879849</v>
                </pt>
                <pt idx="2">
                  <v>4.397307830909001</v>
                </pt>
                <pt idx="3">
                  <v>4.308656962930508</v>
                </pt>
                <pt idx="4">
                  <v>3.987641223749363</v>
                </pt>
              </numCache>
            </numRef>
          </yVal>
          <smooth val="0"/>
        </ser>
        <dLbls>
          <showLegendKey val="0"/>
          <showVal val="0"/>
          <showCatName val="0"/>
          <showSerName val="0"/>
          <showPercent val="0"/>
          <showBubbleSize val="0"/>
        </dLbls>
        <axId val="608961712"/>
        <axId val="608961056"/>
      </scatterChart>
      <valAx>
        <axId val="608961712"/>
        <scaling>
          <orientation val="minMax"/>
        </scaling>
        <delete val="0"/>
        <axPos val="b"/>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strRef>
          <f>[1]MMLM!$A$26</f>
          <strCache>
            <ptCount val="1"/>
            <pt idx="0">
              <v>Stability of PH-NTU-03-L1-559-0 in ata.xlsx]MMLM</v>
            </pt>
          </strCache>
        </strRef>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zh-CN"/>
        </a:p>
      </txPr>
    </title>
    <plotArea>
      <layout/>
      <scatterChart>
        <scatterStyle val="smoothMarker"/>
        <varyColors val="0"/>
        <ser>
          <idx val="0"/>
          <order val="0"/>
          <tx>
            <strRef>
              <f>[2]HLM!$P$2</f>
              <strCache>
                <ptCount val="1"/>
                <pt idx="0">
                  <v>Mean of %Remaining</v>
                </pt>
              </strCache>
            </strRef>
          </tx>
          <spPr>
            <a:ln w="19050" cap="rnd">
              <a:solidFill>
                <a:schemeClr val="accent1"/>
              </a:solidFill>
              <a:prstDash val="solid"/>
              <a:round/>
            </a:ln>
          </spPr>
          <marker>
            <symbol val="circle"/>
            <size val="5"/>
            <spPr>
              <a:solidFill>
                <a:schemeClr val="accent1"/>
              </a:solidFill>
              <a:ln w="9525">
                <a:solidFill>
                  <a:schemeClr val="accent1"/>
                </a:solidFill>
                <a:prstDash val="solid"/>
              </a:ln>
            </spPr>
          </marker>
          <xVal>
            <numRef>
              <f>[1]MMLM!$J$25:$J$30</f>
              <numCache>
                <formatCode>General</formatCode>
                <ptCount val="6"/>
                <pt idx="0">
                  <v>0.5</v>
                </pt>
                <pt idx="1">
                  <v>5</v>
                </pt>
                <pt idx="2">
                  <v>15</v>
                </pt>
                <pt idx="3">
                  <v>30</v>
                </pt>
                <pt idx="4">
                  <v>60</v>
                </pt>
              </numCache>
            </numRef>
          </xVal>
          <yVal>
            <numRef>
              <f>[1]MMLM!$P$25:$P$30</f>
              <numCache>
                <formatCode>General</formatCode>
                <ptCount val="6"/>
                <pt idx="0">
                  <v>100</v>
                </pt>
                <pt idx="1">
                  <v>94.32971014492755</v>
                </pt>
                <pt idx="2">
                  <v>81.23188405797102</v>
                </pt>
                <pt idx="3">
                  <v>74.34057971014494</v>
                </pt>
                <pt idx="4">
                  <v>53.92753623188406</v>
                </pt>
              </numCache>
            </numRef>
          </yVal>
          <smooth val="1"/>
        </ser>
        <ser>
          <idx val="1"/>
          <order val="1"/>
          <tx>
            <strRef>
              <f>[2]HLM!$M$2</f>
              <strCache>
                <ptCount val="1"/>
                <pt idx="0">
                  <v>%Remaining-N</v>
                </pt>
              </strCache>
            </strRef>
          </tx>
          <spPr>
            <a:ln w="19050" cap="rnd">
              <a:solidFill>
                <a:schemeClr val="accent2"/>
              </a:solidFill>
              <a:prstDash val="solid"/>
              <a:round/>
            </a:ln>
          </spPr>
          <marker>
            <symbol val="circle"/>
            <size val="5"/>
            <spPr>
              <a:solidFill>
                <a:sysClr val="window" lastClr="FFFFFF"/>
              </a:solidFill>
              <a:ln w="9525">
                <a:solidFill>
                  <a:schemeClr val="accent4"/>
                </a:solidFill>
                <a:prstDash val="solid"/>
              </a:ln>
            </spPr>
          </marker>
          <xVal>
            <numRef>
              <f>[1]MMLM!$J$25:$J$30</f>
              <numCache>
                <formatCode>General</formatCode>
                <ptCount val="6"/>
                <pt idx="0">
                  <v>0.5</v>
                </pt>
                <pt idx="1">
                  <v>5</v>
                </pt>
                <pt idx="2">
                  <v>15</v>
                </pt>
                <pt idx="3">
                  <v>30</v>
                </pt>
                <pt idx="4">
                  <v>60</v>
                </pt>
              </numCache>
            </numRef>
          </xVal>
          <yVal>
            <numRef>
              <f>[1]MMLM!$M$25:$M$30</f>
              <numCache>
                <formatCode>General</formatCode>
                <ptCount val="6"/>
                <pt idx="0">
                  <v>100</v>
                </pt>
                <pt idx="4">
                  <v>92.68292682926828</v>
                </pt>
              </numCache>
            </numRef>
          </yVal>
          <smooth val="1"/>
        </ser>
        <dLbls>
          <showLegendKey val="0"/>
          <showVal val="0"/>
          <showCatName val="0"/>
          <showSerName val="0"/>
          <showPercent val="0"/>
          <showBubbleSize val="0"/>
        </dLbls>
        <axId val="608961712"/>
        <axId val="608961056"/>
      </scatterChart>
      <valAx>
        <axId val="608961712"/>
        <scaling>
          <orientation val="minMax"/>
          <max val="60"/>
        </scaling>
        <delete val="0"/>
        <axPos val="b"/>
        <title>
          <tx>
            <strRef>
              <f>[2]MMLM!$J$2</f>
              <strCache>
                <ptCount val="1"/>
                <pt idx="0">
                  <v>Time (min)</v>
                </pt>
              </strCache>
            </strRef>
          </tx>
          <overlay val="0"/>
          <spPr>
            <a:noFill/>
            <a:ln>
              <a:noFill/>
              <a:prstDash val="solid"/>
            </a:ln>
          </spPr>
          <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056"/>
        <crosses val="autoZero"/>
        <crossBetween val="midCat"/>
      </valAx>
      <valAx>
        <axId val="608961056"/>
        <scaling>
          <orientation val="minMax"/>
        </scaling>
        <delete val="0"/>
        <axPos val="l"/>
        <title>
          <tx>
            <strRef>
              <f>[2]MMLM!$P$2</f>
              <strCache>
                <ptCount val="1"/>
                <pt idx="0">
                  <v>Mean of %Remaining</v>
                </pt>
              </strCache>
            </strRef>
          </tx>
          <overlay val="0"/>
          <spPr>
            <a:noFill/>
            <a:ln>
              <a:noFill/>
              <a:prstDash val="solid"/>
            </a:ln>
          </spPr>
          <txPr>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r>
                <a:t/>
              </a:r>
              <a:endParaRPr lang="zh-CN"/>
            </a:p>
          </txPr>
        </title>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zh-CN"/>
          </a:p>
        </txPr>
        <crossAx val="608961712"/>
        <crosses val="autoZero"/>
        <crossBetween val="midCat"/>
      </valAx>
    </plotArea>
    <plotVisOnly val="1"/>
    <dispBlanksAs val="span"/>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12263</colOff>
      <row>8</row>
      <rowOff>16167</rowOff>
    </from>
    <to>
      <col>12</col>
      <colOff>952499</colOff>
      <row>21</row>
      <rowOff>168087</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1017734</colOff>
      <row>8</row>
      <rowOff>9080</rowOff>
    </from>
    <to>
      <col>17</col>
      <colOff>470647</colOff>
      <row>21</row>
      <rowOff>168088</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12263</colOff>
      <row>30</row>
      <rowOff>16167</rowOff>
    </from>
    <to>
      <col>12</col>
      <colOff>952499</colOff>
      <row>43</row>
      <rowOff>168087</rowOff>
    </to>
    <graphicFrame>
      <nvGraphicFramePr>
        <cNvPr id="3" name="Chart 3"/>
        <cNvGraphicFramePr/>
      </nvGraphicFramePr>
      <xfrm/>
      <a:graphic>
        <a:graphicData uri="http://schemas.openxmlformats.org/drawingml/2006/chart">
          <c:chart r:id="rId3"/>
        </a:graphicData>
      </a:graphic>
    </graphicFrame>
    <clientData/>
  </twoCellAnchor>
  <twoCellAnchor>
    <from>
      <col>12</col>
      <colOff>1017734</colOff>
      <row>30</row>
      <rowOff>9080</rowOff>
    </from>
    <to>
      <col>17</col>
      <colOff>470647</colOff>
      <row>43</row>
      <rowOff>168088</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12263</colOff>
      <row>8</row>
      <rowOff>16167</rowOff>
    </from>
    <to>
      <col>12</col>
      <colOff>952499</colOff>
      <row>21</row>
      <rowOff>168087</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1017734</colOff>
      <row>8</row>
      <rowOff>9080</rowOff>
    </from>
    <to>
      <col>17</col>
      <colOff>470647</colOff>
      <row>21</row>
      <rowOff>168088</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12263</colOff>
      <row>30</row>
      <rowOff>16167</rowOff>
    </from>
    <to>
      <col>12</col>
      <colOff>952499</colOff>
      <row>43</row>
      <rowOff>168087</rowOff>
    </to>
    <graphicFrame>
      <nvGraphicFramePr>
        <cNvPr id="3" name="Chart 3"/>
        <cNvGraphicFramePr/>
      </nvGraphicFramePr>
      <xfrm/>
      <a:graphic>
        <a:graphicData uri="http://schemas.openxmlformats.org/drawingml/2006/chart">
          <c:chart r:id="rId3"/>
        </a:graphicData>
      </a:graphic>
    </graphicFrame>
    <clientData/>
  </twoCellAnchor>
  <twoCellAnchor>
    <from>
      <col>12</col>
      <colOff>1017734</colOff>
      <row>30</row>
      <rowOff>9080</rowOff>
    </from>
    <to>
      <col>17</col>
      <colOff>470647</colOff>
      <row>43</row>
      <rowOff>168088</rowOff>
    </to>
    <graphicFrame>
      <nvGraphicFramePr>
        <cNvPr id="4" name="Chart 4"/>
        <cNvGraphicFramePr/>
      </nvGraphicFramePr>
      <xfrm/>
      <a:graphic>
        <a:graphicData uri="http://schemas.openxmlformats.org/drawingml/2006/chart">
          <c:chart r:id="rId4"/>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ADME-NCU-LM-20231218-Raw%20Data.xlsx" TargetMode="External" Id="rId1" /></Relationships>
</file>

<file path=xl/externalLinks/_rels/externalLink2.xml.rels><Relationships xmlns="http://schemas.openxmlformats.org/package/2006/relationships"><Relationship Type="http://schemas.openxmlformats.org/officeDocument/2006/relationships/externalLinkPath" Target="file:///C:/Analyst%20Data/Projects/Default/Processing%20file/ADME-LM-processing%20file-Replicate%202-with%205%20min-80-V10.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caling Factor"/>
      <sheetName val="Summary-Clint"/>
      <sheetName val="Summary-Remaining"/>
      <sheetName val="HLM"/>
      <sheetName val="MMLM"/>
      <sheetName val="Mass Transition"/>
      <sheetName val="Materials"/>
      <sheetName val="Data Information"/>
    </sheetNames>
    <sheetDataSet>
      <sheetData sheetId="0"/>
      <sheetData sheetId="1"/>
      <sheetData sheetId="2"/>
      <sheetData sheetId="3">
        <row r="3">
          <cell r="A3" t="str">
            <v>Verapamil</v>
          </cell>
          <cell r="J3">
            <v>0.5</v>
          </cell>
          <cell r="M3">
            <v>100</v>
          </cell>
          <cell r="P3">
            <v>100</v>
          </cell>
          <cell r="R3">
            <v>4.6051701859880918</v>
          </cell>
        </row>
        <row r="4">
          <cell r="A4" t="str">
            <v>Stability of Verapamil in ata.xlsx]HLM</v>
          </cell>
          <cell r="J4">
            <v>5</v>
          </cell>
          <cell r="P4">
            <v>55.131061598951504</v>
          </cell>
          <cell r="R4">
            <v>4.009713288700457</v>
          </cell>
        </row>
        <row r="5">
          <cell r="J5">
            <v>15</v>
          </cell>
          <cell r="P5">
            <v>15.759757085830341</v>
          </cell>
          <cell r="R5">
            <v>2.7574596709753081</v>
          </cell>
        </row>
        <row r="6">
          <cell r="J6">
            <v>30</v>
          </cell>
          <cell r="P6">
            <v>5.2959540984262601</v>
          </cell>
          <cell r="R6" t="e">
            <v>#N/A</v>
          </cell>
        </row>
        <row r="7">
          <cell r="J7">
            <v>60</v>
          </cell>
          <cell r="M7">
            <v>109.90099009900992</v>
          </cell>
          <cell r="P7">
            <v>1.3644512921072902</v>
          </cell>
          <cell r="R7" t="e">
            <v>#N/A</v>
          </cell>
        </row>
        <row r="25">
          <cell r="A25" t="str">
            <v>PH-NTU-03-L1-559-0</v>
          </cell>
          <cell r="J25">
            <v>0.5</v>
          </cell>
          <cell r="M25">
            <v>100</v>
          </cell>
          <cell r="P25">
            <v>100</v>
          </cell>
          <cell r="R25">
            <v>4.6051701859880918</v>
          </cell>
        </row>
        <row r="26">
          <cell r="A26" t="str">
            <v>Stability of PH-NTU-03-L1-559-0 in ata.xlsx]HLM</v>
          </cell>
          <cell r="J26">
            <v>5</v>
          </cell>
          <cell r="P26">
            <v>89.480372135239406</v>
          </cell>
          <cell r="R26">
            <v>4.4940192954782718</v>
          </cell>
        </row>
        <row r="27">
          <cell r="J27">
            <v>15</v>
          </cell>
          <cell r="P27">
            <v>79.018379850238261</v>
          </cell>
          <cell r="R27">
            <v>4.3696804817388637</v>
          </cell>
        </row>
        <row r="28">
          <cell r="J28">
            <v>30</v>
          </cell>
          <cell r="P28">
            <v>68.118901747220335</v>
          </cell>
          <cell r="R28">
            <v>4.2212547333395118</v>
          </cell>
        </row>
        <row r="29">
          <cell r="J29">
            <v>60</v>
          </cell>
          <cell r="M29">
            <v>104.85436893203884</v>
          </cell>
          <cell r="P29">
            <v>44.75629680054459</v>
          </cell>
          <cell r="R29">
            <v>3.8012321454487474</v>
          </cell>
        </row>
      </sheetData>
      <sheetData sheetId="4">
        <row r="3">
          <cell r="A3" t="str">
            <v>Verapamil</v>
          </cell>
          <cell r="J3">
            <v>0.5</v>
          </cell>
          <cell r="M3">
            <v>99.999999999999986</v>
          </cell>
          <cell r="P3">
            <v>100</v>
          </cell>
          <cell r="R3">
            <v>4.6051701859880918</v>
          </cell>
        </row>
        <row r="4">
          <cell r="A4" t="str">
            <v>Stability of Verapamil in ata.xlsx]MMLM</v>
          </cell>
          <cell r="J4">
            <v>5</v>
          </cell>
          <cell r="P4">
            <v>27.156708595387833</v>
          </cell>
          <cell r="R4">
            <v>3.3016241096100858</v>
          </cell>
        </row>
        <row r="5">
          <cell r="J5">
            <v>15</v>
          </cell>
          <cell r="P5">
            <v>6.2183787561146051</v>
          </cell>
          <cell r="R5" t="e">
            <v>#N/A</v>
          </cell>
        </row>
        <row r="6">
          <cell r="J6">
            <v>30</v>
          </cell>
          <cell r="P6">
            <v>1.2561146051712089</v>
          </cell>
          <cell r="R6" t="e">
            <v>#N/A</v>
          </cell>
        </row>
        <row r="7">
          <cell r="J7">
            <v>60</v>
          </cell>
          <cell r="M7">
            <v>101.69300225733635</v>
          </cell>
          <cell r="P7">
            <v>0</v>
          </cell>
          <cell r="R7" t="e">
            <v>#N/A</v>
          </cell>
        </row>
        <row r="25">
          <cell r="A25" t="str">
            <v>PH-NTU-03-L1-559-0</v>
          </cell>
          <cell r="J25">
            <v>0.5</v>
          </cell>
          <cell r="M25">
            <v>100</v>
          </cell>
          <cell r="P25">
            <v>100</v>
          </cell>
          <cell r="R25">
            <v>4.6051701859880918</v>
          </cell>
        </row>
        <row r="26">
          <cell r="A26" t="str">
            <v>Stability of PH-NTU-03-L1-559-0 in ata.xlsx]MMLM</v>
          </cell>
          <cell r="J26">
            <v>5</v>
          </cell>
          <cell r="P26">
            <v>94.329710144927546</v>
          </cell>
          <cell r="R26">
            <v>4.5467961998798492</v>
          </cell>
        </row>
        <row r="27">
          <cell r="J27">
            <v>15</v>
          </cell>
          <cell r="P27">
            <v>81.231884057971016</v>
          </cell>
          <cell r="R27">
            <v>4.3973078309090008</v>
          </cell>
        </row>
        <row r="28">
          <cell r="J28">
            <v>30</v>
          </cell>
          <cell r="P28">
            <v>74.340579710144937</v>
          </cell>
          <cell r="R28">
            <v>4.3086569629305078</v>
          </cell>
        </row>
        <row r="29">
          <cell r="J29">
            <v>60</v>
          </cell>
          <cell r="M29">
            <v>92.682926829268283</v>
          </cell>
          <cell r="P29">
            <v>53.927536231884062</v>
          </cell>
          <cell r="R29">
            <v>3.987641223749363</v>
          </cell>
        </row>
      </sheetData>
      <sheetData sheetId="5"/>
      <sheetData sheetId="6"/>
      <sheetData sheetId="7"/>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Button"/>
      <sheetName val="Calculating parameter"/>
      <sheetName val="Compound information"/>
      <sheetName val="Signature"/>
      <sheetName val="Summary-Clint"/>
      <sheetName val="Summary-Remaining"/>
      <sheetName val="Materials"/>
      <sheetName val="Study Design"/>
      <sheetName val="HLM"/>
      <sheetName val="MKLM"/>
      <sheetName val="MDLM"/>
      <sheetName val="MRLM"/>
      <sheetName val="MMLM"/>
      <sheetName val="Mass Transition"/>
      <sheetName val="Bioanalytical Method"/>
      <sheetName val="Raw Data"/>
    </sheetNames>
    <sheetDataSet>
      <sheetData sheetId="0"/>
      <sheetData sheetId="1"/>
      <sheetData sheetId="2"/>
      <sheetData sheetId="3"/>
      <sheetData sheetId="4"/>
      <sheetData sheetId="5"/>
      <sheetData sheetId="6"/>
      <sheetData sheetId="7"/>
      <sheetData sheetId="8">
        <row r="2">
          <cell r="M2" t="str">
            <v>%Remaining-N</v>
          </cell>
          <cell r="P2" t="str">
            <v>Mean of %Remaining</v>
          </cell>
        </row>
        <row r="3">
          <cell r="A3" t="str">
            <v>Verapamil</v>
          </cell>
        </row>
      </sheetData>
      <sheetData sheetId="9"/>
      <sheetData sheetId="10"/>
      <sheetData sheetId="11"/>
      <sheetData sheetId="12">
        <row r="2">
          <cell r="J2" t="str">
            <v>Time (min)</v>
          </cell>
          <cell r="P2" t="str">
            <v>Mean of %Remaining</v>
          </cell>
        </row>
      </sheetData>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B14"/>
  <sheetViews>
    <sheetView topLeftCell="A25" zoomScaleNormal="100" workbookViewId="0">
      <selection activeCell="A1" sqref="A1:B1"/>
    </sheetView>
  </sheetViews>
  <sheetFormatPr baseColWidth="10" defaultColWidth="9" defaultRowHeight="36" customHeight="1"/>
  <cols>
    <col width="36.6640625" customWidth="1" style="1" min="1" max="1"/>
    <col width="50.6640625" customWidth="1" style="1" min="2" max="2"/>
    <col width="9" customWidth="1" style="1" min="3" max="16384"/>
  </cols>
  <sheetData>
    <row r="1" ht="36" customHeight="1">
      <c r="A1" s="154" t="inlineStr">
        <is>
          <t>Study Report</t>
        </is>
      </c>
    </row>
    <row r="2" ht="36" customHeight="1">
      <c r="A2" s="27" t="inlineStr">
        <is>
          <t>Report Name</t>
        </is>
      </c>
      <c r="B2" s="28" t="inlineStr">
        <is>
          <t>Metabolic Stability of PH-NTU-00-00-000-1 in Human and Mouse Liver Microsomes</t>
        </is>
      </c>
    </row>
    <row r="3" ht="36" customHeight="1">
      <c r="A3" s="27" t="inlineStr">
        <is>
          <t>Pharmaron Study Number</t>
        </is>
      </c>
      <c r="B3" s="29" t="inlineStr">
        <is>
          <t>ADME-NCU-231214</t>
        </is>
      </c>
    </row>
    <row r="4" ht="36" customHeight="1">
      <c r="A4" s="27" t="inlineStr">
        <is>
          <t>Pharmaron Report Number</t>
        </is>
      </c>
      <c r="B4" s="29" t="inlineStr">
        <is>
          <t>ADME-NCU-LM-20231218</t>
        </is>
      </c>
    </row>
    <row r="5" ht="36" customHeight="1">
      <c r="A5" s="210" t="inlineStr">
        <is>
          <t>Submitted to</t>
        </is>
      </c>
      <c r="B5" s="29" t="inlineStr">
        <is>
          <t>Newcastle University</t>
        </is>
      </c>
    </row>
    <row r="6" ht="36" customHeight="1">
      <c r="A6" s="31" t="inlineStr">
        <is>
          <t>Submitted by</t>
        </is>
      </c>
      <c r="B6" s="32" t="inlineStr">
        <is>
          <t>in vitro ADME laboratory, Pharmaron</t>
        </is>
      </c>
    </row>
    <row r="7" ht="36" customHeight="1">
      <c r="A7" s="27" t="inlineStr">
        <is>
          <t>Study Start Date</t>
        </is>
      </c>
      <c r="B7" s="33" t="inlineStr">
        <is>
          <t>12/15/2023</t>
        </is>
      </c>
    </row>
    <row r="8" ht="36" customHeight="1">
      <c r="A8" s="27" t="inlineStr">
        <is>
          <t>Report Submission Date</t>
        </is>
      </c>
      <c r="B8" s="33" t="inlineStr">
        <is>
          <t>12/18/2023</t>
        </is>
      </c>
    </row>
    <row r="9" ht="36" customHeight="1">
      <c r="A9" s="27" t="inlineStr">
        <is>
          <t>Study Director</t>
        </is>
      </c>
      <c r="B9" s="34" t="inlineStr">
        <is>
          <t>Weiwei Chai</t>
        </is>
      </c>
    </row>
    <row r="10" ht="36" customHeight="1">
      <c r="A10" s="27" t="inlineStr">
        <is>
          <t>Assay Scientist</t>
        </is>
      </c>
      <c r="B10" s="34" t="inlineStr">
        <is>
          <t>Chunyu Zhang</t>
        </is>
      </c>
    </row>
    <row r="11" ht="36" customHeight="1">
      <c r="A11" s="27" t="inlineStr">
        <is>
          <t>QC for The Key Steps of The Experiment</t>
        </is>
      </c>
      <c r="B11" s="34" t="inlineStr">
        <is>
          <t>Yue Qiao</t>
        </is>
      </c>
    </row>
    <row r="12" ht="36" customHeight="1">
      <c r="A12" s="27" t="inlineStr">
        <is>
          <t>QC for Raw Data and Data Analysis</t>
        </is>
      </c>
      <c r="B12" s="34" t="inlineStr">
        <is>
          <t>Yue Qiao</t>
        </is>
      </c>
    </row>
    <row r="13" ht="36" customHeight="1">
      <c r="A13" s="27" t="inlineStr">
        <is>
          <t>QC for Report</t>
        </is>
      </c>
      <c r="B13" s="34" t="inlineStr">
        <is>
          <t>Weiwei Chai</t>
        </is>
      </c>
    </row>
    <row r="14" ht="36" customHeight="1">
      <c r="A14" s="27" t="inlineStr">
        <is>
          <t>Report Approval</t>
        </is>
      </c>
      <c r="B14" s="34" t="inlineStr">
        <is>
          <t>Qing Wang</t>
        </is>
      </c>
    </row>
  </sheetData>
  <mergeCells count="1">
    <mergeCell ref="A1:B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J28"/>
  <sheetViews>
    <sheetView tabSelected="1" topLeftCell="A3" zoomScaleNormal="100" workbookViewId="0">
      <selection activeCell="A17" sqref="A17:A20"/>
    </sheetView>
  </sheetViews>
  <sheetFormatPr baseColWidth="10" defaultColWidth="9" defaultRowHeight="16"/>
  <cols>
    <col width="20" customWidth="1" style="71" min="1" max="8"/>
    <col width="9" customWidth="1" style="71" min="9" max="16384"/>
  </cols>
  <sheetData>
    <row r="1" ht="20" customHeight="1">
      <c r="A1" s="162" t="inlineStr">
        <is>
          <t>Data Summary</t>
        </is>
      </c>
    </row>
    <row r="2" ht="17" customHeight="1" thickBot="1">
      <c r="A2" s="163" t="inlineStr">
        <is>
          <t>Table 1. Metabolic stability of test compound and control compound in human and mouse liver microsomes</t>
        </is>
      </c>
    </row>
    <row r="3" ht="34" customHeight="1">
      <c r="A3" s="164" t="inlineStr">
        <is>
          <t>Compound ID</t>
        </is>
      </c>
      <c r="B3" s="166" t="inlineStr">
        <is>
          <t>Species</t>
        </is>
      </c>
      <c r="C3" s="35" t="inlineStr">
        <is>
          <t>in vitro t1/2 (min)</t>
        </is>
      </c>
      <c r="D3" s="35" t="inlineStr">
        <is>
          <t>in vitro CLint
(μL/min/mg)</t>
        </is>
      </c>
      <c r="E3" s="36" t="inlineStr">
        <is>
          <t>Scale-up CLint (mL/min/kg)</t>
        </is>
      </c>
      <c r="F3" s="36" t="inlineStr">
        <is>
          <t>Predicted Hepatic CLH (mL/min/kg)</t>
        </is>
      </c>
      <c r="G3" s="37" t="inlineStr">
        <is>
          <t>Hepatic Extraction Ratio (ER)</t>
        </is>
      </c>
    </row>
    <row r="4">
      <c r="A4" s="211" t="inlineStr">
        <is>
          <t>Verapamil</t>
        </is>
      </c>
      <c r="B4" s="47" t="inlineStr">
        <is>
          <t>Human</t>
        </is>
      </c>
      <c r="C4" s="212" t="n">
        <v>5.45482485567523</v>
      </c>
      <c r="D4" s="212" t="n">
        <v>255.1941608997628</v>
      </c>
      <c r="E4" s="212" t="n">
        <v>262.3395974049561</v>
      </c>
      <c r="F4" s="212" t="n">
        <v>19.4377533861694</v>
      </c>
      <c r="G4" s="213" t="n">
        <v>0.9256073041033048</v>
      </c>
      <c r="I4" s="72" t="n"/>
    </row>
    <row r="5">
      <c r="A5" s="214" t="n"/>
      <c r="B5" s="47" t="inlineStr">
        <is>
          <t>Mouse</t>
        </is>
      </c>
      <c r="C5" s="215" t="n">
        <v>2.392712440979553</v>
      </c>
      <c r="D5" s="215" t="n">
        <v>579.531527251482</v>
      </c>
      <c r="E5" s="215" t="n">
        <v>2396.942396712129</v>
      </c>
      <c r="F5" s="215" t="n">
        <v>86.74156462723296</v>
      </c>
      <c r="G5" s="216" t="n">
        <v>0.9637951625248107</v>
      </c>
      <c r="I5" s="72" t="n"/>
    </row>
    <row r="6">
      <c r="A6" s="217" t="inlineStr">
        <is>
          <t>PH-NTU-00-00-000-0</t>
        </is>
      </c>
      <c r="B6" s="47" t="inlineStr">
        <is>
          <t>Human</t>
        </is>
      </c>
      <c r="C6" s="215" t="n">
        <v>53.45981110376526</v>
      </c>
      <c r="D6" s="215" t="n">
        <v>25.94595228505001</v>
      </c>
      <c r="E6" s="215" t="n">
        <v>26.67243894903141</v>
      </c>
      <c r="F6" s="215" t="n">
        <v>11.74714657239657</v>
      </c>
      <c r="G6" s="216" t="n">
        <v>0.5593879320188841</v>
      </c>
      <c r="I6" s="72" t="n"/>
    </row>
    <row r="7" ht="17" customHeight="1" thickBot="1">
      <c r="A7" s="218" t="n"/>
      <c r="B7" s="54" t="inlineStr">
        <is>
          <t>Mouse</t>
        </is>
      </c>
      <c r="C7" s="219" t="n">
        <v>68.81596982023991</v>
      </c>
      <c r="D7" s="219" t="n">
        <v>20.14195164264427</v>
      </c>
      <c r="E7" s="219" t="n">
        <v>83.30711199397668</v>
      </c>
      <c r="F7" s="219" t="n">
        <v>43.26147526351707</v>
      </c>
      <c r="G7" s="220" t="n">
        <v>0.480683058483523</v>
      </c>
      <c r="I7" s="72" t="n"/>
    </row>
    <row r="8">
      <c r="A8" s="169" t="inlineStr">
        <is>
          <t>Note: The rules on data processing were listed in the study design.</t>
        </is>
      </c>
    </row>
    <row r="9">
      <c r="A9" s="170" t="n"/>
      <c r="H9" s="170" t="n"/>
    </row>
    <row r="10" ht="17" customHeight="1" thickBot="1">
      <c r="A10" s="163" t="inlineStr">
        <is>
          <t>Table 2. Remaining percentage of test compound and control compound in human and mouse liver microsomes</t>
        </is>
      </c>
    </row>
    <row r="11">
      <c r="A11" s="164" t="inlineStr">
        <is>
          <t>Compound ID</t>
        </is>
      </c>
      <c r="B11" s="166" t="inlineStr">
        <is>
          <t>Species</t>
        </is>
      </c>
      <c r="C11" s="166" t="inlineStr">
        <is>
          <t>Assay Format</t>
        </is>
      </c>
      <c r="D11" s="166" t="inlineStr">
        <is>
          <t>Remaining Percentage (%)</t>
        </is>
      </c>
      <c r="E11" s="221" t="n"/>
      <c r="F11" s="221" t="n"/>
      <c r="G11" s="221" t="n"/>
      <c r="H11" s="222" t="n"/>
    </row>
    <row r="12">
      <c r="A12" s="214" t="n"/>
      <c r="B12" s="223" t="n"/>
      <c r="C12" s="223" t="n"/>
      <c r="D12" s="167" t="inlineStr">
        <is>
          <t>0.5 min</t>
        </is>
      </c>
      <c r="E12" s="167" t="inlineStr">
        <is>
          <t>5 min</t>
        </is>
      </c>
      <c r="F12" s="167" t="inlineStr">
        <is>
          <t>15 min</t>
        </is>
      </c>
      <c r="G12" s="167" t="inlineStr">
        <is>
          <t>30 min</t>
        </is>
      </c>
      <c r="H12" s="74" t="inlineStr">
        <is>
          <t>60 min</t>
        </is>
      </c>
    </row>
    <row r="13">
      <c r="A13" s="211" t="inlineStr">
        <is>
          <t>Verapamil</t>
        </is>
      </c>
      <c r="B13" s="224" t="inlineStr">
        <is>
          <t>Human</t>
        </is>
      </c>
      <c r="C13" s="224" t="inlineStr">
        <is>
          <t>+Cofactors</t>
        </is>
      </c>
      <c r="D13" s="225" t="n">
        <v>100</v>
      </c>
      <c r="E13" s="225" t="n">
        <v>55.1310615989515</v>
      </c>
      <c r="F13" s="225" t="n">
        <v>15.75975708583034</v>
      </c>
      <c r="G13" s="225" t="n">
        <v>5.29595409842626</v>
      </c>
      <c r="H13" s="226" t="n">
        <v>1.36445129210729</v>
      </c>
    </row>
    <row r="14">
      <c r="A14" s="227" t="n"/>
      <c r="B14" s="223" t="n"/>
      <c r="C14" s="224" t="inlineStr">
        <is>
          <t>-Cofactors</t>
        </is>
      </c>
      <c r="D14" s="225" t="n">
        <v>100</v>
      </c>
      <c r="E14" s="225" t="inlineStr">
        <is>
          <t>-</t>
        </is>
      </c>
      <c r="F14" s="225" t="inlineStr">
        <is>
          <t>-</t>
        </is>
      </c>
      <c r="G14" s="225" t="inlineStr">
        <is>
          <t>-</t>
        </is>
      </c>
      <c r="H14" s="226" t="n">
        <v>109.9009900990099</v>
      </c>
      <c r="J14" s="72" t="n"/>
    </row>
    <row r="15">
      <c r="A15" s="227" t="n"/>
      <c r="B15" s="224" t="inlineStr">
        <is>
          <t>Mouse</t>
        </is>
      </c>
      <c r="C15" s="224" t="inlineStr">
        <is>
          <t>+Cofactors</t>
        </is>
      </c>
      <c r="D15" s="225" t="n">
        <v>100</v>
      </c>
      <c r="E15" s="225" t="n">
        <v>27.15670859538783</v>
      </c>
      <c r="F15" s="225" t="n">
        <v>6.218378756114605</v>
      </c>
      <c r="G15" s="225" t="n">
        <v>1.256114605171209</v>
      </c>
      <c r="H15" s="226" t="inlineStr">
        <is>
          <t>BLOD</t>
        </is>
      </c>
      <c r="J15" s="72" t="n"/>
    </row>
    <row r="16">
      <c r="A16" s="214" t="n"/>
      <c r="B16" s="223" t="n"/>
      <c r="C16" s="224" t="inlineStr">
        <is>
          <t>-Cofactors</t>
        </is>
      </c>
      <c r="D16" s="225" t="n">
        <v>99.99999999999999</v>
      </c>
      <c r="E16" s="225" t="inlineStr">
        <is>
          <t>-</t>
        </is>
      </c>
      <c r="F16" s="225" t="inlineStr">
        <is>
          <t>-</t>
        </is>
      </c>
      <c r="G16" s="225" t="inlineStr">
        <is>
          <t>-</t>
        </is>
      </c>
      <c r="H16" s="226" t="n">
        <v>101.6930022573363</v>
      </c>
      <c r="J16" s="72" t="n"/>
    </row>
    <row r="17">
      <c r="A17" s="217" t="inlineStr">
        <is>
          <t>PH-NTU-00-00-000-0</t>
        </is>
      </c>
      <c r="B17" s="224" t="inlineStr">
        <is>
          <t>Human</t>
        </is>
      </c>
      <c r="C17" s="224" t="inlineStr">
        <is>
          <t>+Cofactors</t>
        </is>
      </c>
      <c r="D17" s="225" t="n">
        <v>100</v>
      </c>
      <c r="E17" s="225" t="n">
        <v>89.48037213523941</v>
      </c>
      <c r="F17" s="225" t="n">
        <v>79.01837985023826</v>
      </c>
      <c r="G17" s="225" t="n">
        <v>68.11890174722033</v>
      </c>
      <c r="H17" s="226" t="n">
        <v>44.75629680054459</v>
      </c>
      <c r="J17" s="72" t="n"/>
    </row>
    <row r="18">
      <c r="A18" s="227" t="n"/>
      <c r="B18" s="223" t="n"/>
      <c r="C18" s="224" t="inlineStr">
        <is>
          <t>-Cofactors</t>
        </is>
      </c>
      <c r="D18" s="225" t="n">
        <v>100</v>
      </c>
      <c r="E18" s="225" t="inlineStr">
        <is>
          <t>-</t>
        </is>
      </c>
      <c r="F18" s="225" t="inlineStr">
        <is>
          <t>-</t>
        </is>
      </c>
      <c r="G18" s="225" t="inlineStr">
        <is>
          <t>-</t>
        </is>
      </c>
      <c r="H18" s="226" t="n">
        <v>104.8543689320388</v>
      </c>
      <c r="J18" s="72" t="n"/>
    </row>
    <row r="19">
      <c r="A19" s="227" t="n"/>
      <c r="B19" s="224" t="inlineStr">
        <is>
          <t>Mouse</t>
        </is>
      </c>
      <c r="C19" s="224" t="inlineStr">
        <is>
          <t>+Cofactors</t>
        </is>
      </c>
      <c r="D19" s="225" t="n">
        <v>100</v>
      </c>
      <c r="E19" s="225" t="n">
        <v>94.32971014492755</v>
      </c>
      <c r="F19" s="225" t="n">
        <v>81.23188405797102</v>
      </c>
      <c r="G19" s="225" t="n">
        <v>74.34057971014494</v>
      </c>
      <c r="H19" s="226" t="n">
        <v>53.92753623188406</v>
      </c>
    </row>
    <row r="20" ht="17" customHeight="1" thickBot="1">
      <c r="A20" s="218" t="n"/>
      <c r="B20" s="223" t="n"/>
      <c r="C20" s="228" t="inlineStr">
        <is>
          <t>-Cofactors</t>
        </is>
      </c>
      <c r="D20" s="229" t="n">
        <v>100</v>
      </c>
      <c r="E20" s="229" t="inlineStr">
        <is>
          <t>-</t>
        </is>
      </c>
      <c r="F20" s="229" t="inlineStr">
        <is>
          <t>-</t>
        </is>
      </c>
      <c r="G20" s="229" t="inlineStr">
        <is>
          <t>-</t>
        </is>
      </c>
      <c r="H20" s="230" t="n">
        <v>92.68292682926828</v>
      </c>
    </row>
    <row r="21">
      <c r="A21" s="156" t="inlineStr">
        <is>
          <t>BLOD: below the limit of detection</t>
        </is>
      </c>
    </row>
    <row r="22"/>
    <row r="23">
      <c r="F23" s="72" t="n"/>
    </row>
    <row r="24">
      <c r="D24" s="89" t="n"/>
    </row>
    <row r="25">
      <c r="D25" s="72" t="n"/>
    </row>
    <row r="26">
      <c r="D26" s="72" t="n"/>
    </row>
    <row r="27">
      <c r="D27" s="72" t="n"/>
    </row>
    <row r="28">
      <c r="D28" s="72" t="n"/>
      <c r="F28" s="72" t="n"/>
    </row>
  </sheetData>
  <mergeCells count="18">
    <mergeCell ref="A13:A16"/>
    <mergeCell ref="A21:H21"/>
    <mergeCell ref="A1:G1"/>
    <mergeCell ref="A9:G9"/>
    <mergeCell ref="A8:G8"/>
    <mergeCell ref="A4:A5"/>
    <mergeCell ref="B13:B14"/>
    <mergeCell ref="A17:A20"/>
    <mergeCell ref="A10:H10"/>
    <mergeCell ref="D11:H11"/>
    <mergeCell ref="B17:B18"/>
    <mergeCell ref="B11:B12"/>
    <mergeCell ref="A2:G2"/>
    <mergeCell ref="C11:C12"/>
    <mergeCell ref="A6:A7"/>
    <mergeCell ref="B19:B20"/>
    <mergeCell ref="A11:A12"/>
    <mergeCell ref="B15:B16"/>
  </mergeCells>
  <conditionalFormatting sqref="H4:H7">
    <cfRule type="duplicateValues" priority="1" dxfId="2"/>
  </conditionalFormatting>
  <conditionalFormatting sqref="H4:L7">
    <cfRule type="duplicateValues" priority="3" dxfId="2"/>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F17"/>
  <sheetViews>
    <sheetView zoomScaleNormal="100" workbookViewId="0">
      <selection activeCell="A1" sqref="A1:E1"/>
    </sheetView>
  </sheetViews>
  <sheetFormatPr baseColWidth="10" defaultColWidth="9" defaultRowHeight="15"/>
  <cols>
    <col width="25.1640625" customWidth="1" style="2" min="1" max="5"/>
    <col width="9" customWidth="1" style="2" min="6" max="16384"/>
  </cols>
  <sheetData>
    <row r="1" ht="20" customHeight="1">
      <c r="A1" s="175" t="inlineStr">
        <is>
          <t>Materials</t>
        </is>
      </c>
      <c r="F1" s="55" t="n"/>
    </row>
    <row r="2" ht="15" customHeight="1">
      <c r="A2" s="174" t="inlineStr">
        <is>
          <t>1.Test compound was provided by the sponsor. The compound information is listed in Table 3.</t>
        </is>
      </c>
      <c r="F2" s="9" t="n"/>
    </row>
    <row r="3" ht="16" customHeight="1" thickBot="1">
      <c r="A3" s="173" t="inlineStr">
        <is>
          <t>Table 3. Compound information</t>
        </is>
      </c>
      <c r="B3" s="231" t="n"/>
      <c r="C3" s="231" t="n"/>
      <c r="D3" s="231" t="n"/>
      <c r="E3" s="231" t="n"/>
    </row>
    <row r="4" ht="16" customHeight="1">
      <c r="A4" s="90" t="inlineStr">
        <is>
          <t>Compound ID</t>
        </is>
      </c>
      <c r="B4" s="91" t="inlineStr">
        <is>
          <t>Client Lot No.</t>
        </is>
      </c>
      <c r="C4" s="92" t="inlineStr">
        <is>
          <t>MW (g/mol)</t>
        </is>
      </c>
      <c r="D4" s="92" t="inlineStr">
        <is>
          <t>FW (g/mol)</t>
        </is>
      </c>
      <c r="E4" s="93" t="inlineStr">
        <is>
          <t>Purity</t>
        </is>
      </c>
    </row>
    <row r="5" ht="17" customHeight="1" thickBot="1">
      <c r="A5" s="94" t="inlineStr">
        <is>
          <t>PH-NTU-00-00-000-1</t>
        </is>
      </c>
      <c r="B5" s="95" t="inlineStr">
        <is>
          <t>EB2303838-387P1</t>
        </is>
      </c>
      <c r="C5" s="96" t="n">
        <v>460.54</v>
      </c>
      <c r="D5" s="97" t="n">
        <v>460.54</v>
      </c>
      <c r="E5" s="98" t="n">
        <v>0.986</v>
      </c>
    </row>
    <row r="6">
      <c r="A6" s="176" t="n"/>
      <c r="B6" s="232" t="n"/>
      <c r="C6" s="232" t="n"/>
      <c r="D6" s="232" t="n"/>
      <c r="E6" s="232" t="n"/>
      <c r="F6" s="53" t="n"/>
    </row>
    <row r="7">
      <c r="A7" s="171" t="inlineStr">
        <is>
          <t>2.The microsomes were stored at -80°C prior to use, and the liver microsomes information is listed in Table 4.</t>
        </is>
      </c>
    </row>
    <row r="8" ht="16" customHeight="1" thickBot="1">
      <c r="A8" s="172" t="inlineStr">
        <is>
          <t>Table 4. Liver microsomes information</t>
        </is>
      </c>
      <c r="B8" s="231" t="n"/>
      <c r="C8" s="231" t="n"/>
      <c r="D8" s="231" t="n"/>
      <c r="E8" s="231" t="n"/>
    </row>
    <row r="9" ht="16" customHeight="1">
      <c r="A9" s="43" t="inlineStr">
        <is>
          <t>Species</t>
        </is>
      </c>
      <c r="B9" s="44" t="inlineStr">
        <is>
          <t>Vendor</t>
        </is>
      </c>
      <c r="C9" s="44" t="inlineStr">
        <is>
          <t>Cat. No.</t>
        </is>
      </c>
      <c r="D9" s="45" t="inlineStr">
        <is>
          <t>Lot. No.</t>
        </is>
      </c>
      <c r="E9" s="46" t="inlineStr">
        <is>
          <t xml:space="preserve">Strain &amp; Gender </t>
        </is>
      </c>
    </row>
    <row r="10" ht="16" customHeight="1">
      <c r="A10" s="83" t="inlineStr">
        <is>
          <t>Human</t>
        </is>
      </c>
      <c r="B10" s="84" t="inlineStr">
        <is>
          <t>BD Gentest</t>
        </is>
      </c>
      <c r="C10" s="84" t="n">
        <v>452117</v>
      </c>
      <c r="D10" s="99" t="n">
        <v>38297</v>
      </c>
      <c r="E10" s="85" t="inlineStr">
        <is>
          <t>Pooled, Mixed Gender</t>
        </is>
      </c>
    </row>
    <row r="11" ht="17" customHeight="1" thickBot="1">
      <c r="A11" s="40" t="inlineStr">
        <is>
          <t>Mouse</t>
        </is>
      </c>
      <c r="B11" s="41" t="inlineStr">
        <is>
          <t>BD Gentest</t>
        </is>
      </c>
      <c r="C11" s="41" t="n">
        <v>452701</v>
      </c>
      <c r="D11" s="66" t="n">
        <v>1313002</v>
      </c>
      <c r="E11" s="42" t="inlineStr">
        <is>
          <t>Pooled, Male CD-1</t>
        </is>
      </c>
    </row>
    <row r="12"/>
    <row r="13"/>
    <row r="14"/>
    <row r="15">
      <c r="D15" s="67" t="n"/>
    </row>
    <row r="16">
      <c r="D16" s="67" t="n"/>
    </row>
    <row r="17">
      <c r="D17" s="67" t="n"/>
    </row>
  </sheetData>
  <mergeCells count="6">
    <mergeCell ref="A2:E2"/>
    <mergeCell ref="A7:E7"/>
    <mergeCell ref="A1:E1"/>
    <mergeCell ref="A8:E8"/>
    <mergeCell ref="A6:E6"/>
    <mergeCell ref="A3:E3"/>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E42"/>
  <sheetViews>
    <sheetView zoomScaleNormal="100" workbookViewId="0">
      <selection activeCell="A1" sqref="A1:D1"/>
    </sheetView>
  </sheetViews>
  <sheetFormatPr baseColWidth="10" defaultColWidth="9" defaultRowHeight="15"/>
  <cols>
    <col width="28.83203125" customWidth="1" style="9" min="1" max="5"/>
    <col width="9" customWidth="1" style="9" min="6" max="16384"/>
  </cols>
  <sheetData>
    <row r="1" ht="20" customHeight="1">
      <c r="A1" s="184" t="inlineStr">
        <is>
          <t>Study Design</t>
        </is>
      </c>
    </row>
    <row r="2" ht="15" customHeight="1">
      <c r="A2" s="171" t="inlineStr">
        <is>
          <t>1. The master solution was prepared according to Table 5.</t>
        </is>
      </c>
    </row>
    <row r="3" ht="15.75" customHeight="1" thickBot="1">
      <c r="A3" s="185" t="inlineStr">
        <is>
          <t>Table 5. Preparation of master solution</t>
        </is>
      </c>
      <c r="B3" s="231" t="n"/>
      <c r="C3" s="231" t="n"/>
      <c r="D3" s="231" t="n"/>
    </row>
    <row r="4" ht="16" customHeight="1">
      <c r="A4" s="10" t="inlineStr">
        <is>
          <t>Reagent</t>
        </is>
      </c>
      <c r="B4" s="11" t="inlineStr">
        <is>
          <t>Stock Concentration</t>
        </is>
      </c>
      <c r="C4" s="11" t="inlineStr">
        <is>
          <t>Volume</t>
        </is>
      </c>
      <c r="D4" s="11" t="inlineStr">
        <is>
          <t>Final Concentration</t>
        </is>
      </c>
    </row>
    <row r="5" ht="16" customHeight="1">
      <c r="A5" s="12" t="inlineStr">
        <is>
          <t>Phosphate buffer</t>
        </is>
      </c>
      <c r="B5" s="13" t="inlineStr">
        <is>
          <t>100 mM</t>
        </is>
      </c>
      <c r="C5" s="13" t="inlineStr">
        <is>
          <t>216.25 μL</t>
        </is>
      </c>
      <c r="D5" s="13" t="inlineStr">
        <is>
          <t>100 mM</t>
        </is>
      </c>
    </row>
    <row r="6" ht="17" customHeight="1" thickBot="1">
      <c r="A6" s="14" t="inlineStr">
        <is>
          <t>Microsomes</t>
        </is>
      </c>
      <c r="B6" s="15" t="inlineStr">
        <is>
          <t>20 mg/mL</t>
        </is>
      </c>
      <c r="C6" s="15" t="inlineStr">
        <is>
          <t>6.25 μL</t>
        </is>
      </c>
      <c r="D6" s="15" t="inlineStr">
        <is>
          <t>0.5 mg/mL</t>
        </is>
      </c>
    </row>
    <row r="7" ht="68.25" customHeight="1">
      <c r="A7" s="186" t="inlineStr">
        <is>
          <t xml:space="preserve">2. Two separated experiments were performed as follows. a)  With Cofactors (NADPH): 25 μL of 10 mM NADPH was added to the incubations. The final concentrations of microsomes and NADPH were 0.5 mg/mL and 1 mM, respectively. b) Without Cofactors (NADPH): 25 μL of 100 mM Phosphate buffer was added to the incubations. The final concentration of microsomes was 0.5 mg/mL. The mixture was pre-warmed at 37°C for 10 minutes. </t>
        </is>
      </c>
      <c r="B7" s="232" t="n"/>
      <c r="C7" s="232" t="n"/>
      <c r="D7" s="232" t="n"/>
    </row>
    <row r="8" ht="46.5" customHeight="1">
      <c r="A8" s="187" t="inlineStr">
        <is>
          <t>3. The reaction was started with the addition of 2.5 μL of 100 μM control compound or test compound solutions. Verapamil was used as positive control in this study. The final concentration of test compound or control compound was 1 μM. The incubation solution was incubated in water batch at 37°C.</t>
        </is>
      </c>
    </row>
    <row r="9" ht="66" customHeight="1">
      <c r="A9" s="171" t="inlineStr">
        <is>
          <t>4. Aliquots of 30 µL were taken from the reaction solution at 0.5, 5, 15, 30 and 60 minutes. The reaction was stopped by the addition of 5 volumes of cold acetonitrile with IS (100 nM alprazolam, 200 nM caffeine and 100 nM tolbutamide). Samples were centrifuged at 3, 220 g for 40 minutes. Aliquot of 100 µL of the supernatant was mixed with 100 µL of ultra-pure H2O and then used for LC-MS/MS analysis.</t>
        </is>
      </c>
    </row>
    <row r="10">
      <c r="A10" s="171" t="inlineStr">
        <is>
          <t>5. Data Analysis</t>
        </is>
      </c>
    </row>
    <row r="11">
      <c r="A11" s="171" t="inlineStr">
        <is>
          <t>All calculations were carried out using Microsoft Excel.</t>
        </is>
      </c>
    </row>
    <row r="12" ht="40.5" customHeight="1">
      <c r="A12" s="171" t="inlineStr">
        <is>
          <t xml:space="preserve">Peak areas were determined from extracted ion chromatograms. The slope value, k, was determined by linear regression of the natural logarithm of the remaining percentage of the parent drug vs. incubation time curve. </t>
        </is>
      </c>
    </row>
    <row r="13" ht="19.5" customHeight="1">
      <c r="A13" s="171" t="inlineStr">
        <is>
          <t>The in vitro half-life (in vitro t1/2) was determined from the slope value:</t>
        </is>
      </c>
    </row>
    <row r="14" ht="26.25" customHeight="1">
      <c r="A14" s="179" t="n"/>
    </row>
    <row r="15" ht="41.25" customHeight="1">
      <c r="A15" s="171" t="inlineStr">
        <is>
          <t>Conversion of the in vitro t1/2 (min) into the in vitro intrinsic clearance (in vitro CLint, in µL/min/mg protein) was done using the following equation (mean of duplicate determinations):</t>
        </is>
      </c>
    </row>
    <row r="16">
      <c r="A16" s="179" t="n"/>
    </row>
    <row r="17"/>
    <row r="18"/>
    <row r="19"/>
    <row r="20" ht="30" customHeight="1">
      <c r="A20" s="171" t="inlineStr">
        <is>
          <t>The calculations of Scale-up CLint (mL/min/kg), Predicted Hepatic CLH (mL/min/kg) and Hepatic Extraction Ratio (ER) were done using the following equation:</t>
        </is>
      </c>
    </row>
    <row r="21" ht="15" customHeight="1">
      <c r="A21" s="171" t="inlineStr">
        <is>
          <t>Scale-up CLint = (0.693/T1/2) × (1/(microsomal protein concentration (0.5 mg/mL))) × Scaling Factors (Table 6)</t>
        </is>
      </c>
    </row>
    <row r="22" ht="15" customHeight="1">
      <c r="A22" s="171" t="inlineStr">
        <is>
          <t>Predicted Hepatic CLH = (QH × Scale-up CLint × fub) / (QH + Scale-up CLint × fub),</t>
        </is>
      </c>
    </row>
    <row r="23" ht="15" customHeight="1">
      <c r="A23" s="171" t="inlineStr">
        <is>
          <t>ER = Predicted Hepatic CLH/QH</t>
        </is>
      </c>
    </row>
    <row r="24">
      <c r="A24" s="171" t="inlineStr">
        <is>
          <t>where QH is the hepatic blood flow (mL/min/kg) (Table 6), fub is the fraction of unbound drug in plasma which is assumed to be 1.</t>
        </is>
      </c>
    </row>
    <row r="25" ht="15" customHeight="1" thickBot="1">
      <c r="A25" s="172" t="inlineStr">
        <is>
          <t xml:space="preserve">     Table 6. Scaling factors for intrinsic clearance prediction in Human, Monkey, Dog, Rat and Mouse microsomes</t>
        </is>
      </c>
      <c r="B25" s="231" t="n"/>
      <c r="C25" s="231" t="n"/>
      <c r="D25" s="231" t="n"/>
      <c r="E25" s="231" t="n"/>
    </row>
    <row r="26" ht="15" customHeight="1">
      <c r="A26" s="180" t="inlineStr">
        <is>
          <t>Species</t>
        </is>
      </c>
      <c r="B26" s="182" t="inlineStr">
        <is>
          <t>Microsomal Protein</t>
        </is>
      </c>
      <c r="C26" s="182" t="inlineStr">
        <is>
          <t>Liver Weight per Kilogram of Body Weight</t>
        </is>
      </c>
      <c r="D26" s="182" t="inlineStr">
        <is>
          <t>Scaling Factora</t>
        </is>
      </c>
      <c r="E26" s="177" t="inlineStr">
        <is>
          <t>Hepatic Blood Flow (mL/min/kg)</t>
        </is>
      </c>
    </row>
    <row r="27" ht="15" customHeight="1">
      <c r="A27" s="214" t="n"/>
      <c r="B27" s="183" t="inlineStr">
        <is>
          <t>per Gram of Liver</t>
        </is>
      </c>
      <c r="C27" s="223" t="n"/>
      <c r="D27" s="223" t="n"/>
      <c r="E27" s="233" t="n"/>
    </row>
    <row r="28" ht="15" customHeight="1">
      <c r="A28" s="19" t="inlineStr">
        <is>
          <t>Human</t>
        </is>
      </c>
      <c r="B28" s="18" t="n">
        <v>40</v>
      </c>
      <c r="C28" s="18" t="n">
        <v>25.7</v>
      </c>
      <c r="D28" s="18">
        <f>B28*C28</f>
        <v/>
      </c>
      <c r="E28" s="24" t="n">
        <v>21</v>
      </c>
    </row>
    <row r="29" ht="15" customHeight="1">
      <c r="A29" s="19" t="inlineStr">
        <is>
          <t>Monkey</t>
        </is>
      </c>
      <c r="B29" s="18" t="n">
        <v>40</v>
      </c>
      <c r="C29" s="18" t="n">
        <v>30</v>
      </c>
      <c r="D29" s="18">
        <f>B29*C29</f>
        <v/>
      </c>
      <c r="E29" s="24" t="n">
        <v>44</v>
      </c>
    </row>
    <row r="30" ht="15" customHeight="1">
      <c r="A30" s="19" t="inlineStr">
        <is>
          <t>Dog</t>
        </is>
      </c>
      <c r="B30" s="18" t="n">
        <v>55</v>
      </c>
      <c r="C30" s="18" t="n">
        <v>32</v>
      </c>
      <c r="D30" s="18">
        <f>B30*C30</f>
        <v/>
      </c>
      <c r="E30" s="24" t="n">
        <v>31</v>
      </c>
    </row>
    <row r="31" ht="15" customHeight="1">
      <c r="A31" s="19" t="inlineStr">
        <is>
          <t>Rat</t>
        </is>
      </c>
      <c r="B31" s="18" t="n">
        <v>61</v>
      </c>
      <c r="C31" s="18" t="n">
        <v>40</v>
      </c>
      <c r="D31" s="18">
        <f>B31*C31</f>
        <v/>
      </c>
      <c r="E31" s="24" t="n">
        <v>68</v>
      </c>
    </row>
    <row r="32" ht="15" customHeight="1" thickBot="1">
      <c r="A32" s="20" t="inlineStr">
        <is>
          <t>Mouse</t>
        </is>
      </c>
      <c r="B32" s="21" t="n">
        <v>47</v>
      </c>
      <c r="C32" s="21" t="n">
        <v>88</v>
      </c>
      <c r="D32" s="21">
        <f>B32*C32</f>
        <v/>
      </c>
      <c r="E32" s="25" t="n">
        <v>90</v>
      </c>
    </row>
    <row r="33" ht="16" customFormat="1" customHeight="1" s="3">
      <c r="A33" s="188" t="inlineStr">
        <is>
          <t>aScaling Factor = (microsomal protein per gram of liver) × (liver weight per kilogram of body weight)</t>
        </is>
      </c>
    </row>
    <row r="34" customFormat="1" s="3">
      <c r="A34" s="171" t="inlineStr">
        <is>
          <t xml:space="preserve">6. Data Processing Rules </t>
        </is>
      </c>
    </row>
    <row r="35" ht="18.75" customFormat="1" customHeight="1" s="3">
      <c r="A35" s="193" t="inlineStr">
        <is>
          <t>The rules for data processing are shown in Table 7.</t>
        </is>
      </c>
    </row>
    <row r="36" ht="16" customFormat="1" customHeight="1" s="3" thickBot="1">
      <c r="A36" s="194" t="inlineStr">
        <is>
          <t>Table 7. The rules on data processing</t>
        </is>
      </c>
      <c r="B36" s="231" t="n"/>
      <c r="C36" s="231" t="n"/>
      <c r="D36" s="231" t="n"/>
      <c r="E36" s="16" t="n"/>
    </row>
    <row r="37" ht="17" customFormat="1" customHeight="1" s="3" thickBot="1">
      <c r="A37" s="195" t="inlineStr">
        <is>
          <t>Remaining %</t>
        </is>
      </c>
      <c r="B37" s="195" t="inlineStr">
        <is>
          <t>Processing Rules</t>
        </is>
      </c>
      <c r="C37" s="234" t="n"/>
      <c r="D37" s="234" t="n"/>
      <c r="E37" s="16" t="n"/>
    </row>
    <row r="38" ht="29.25" customFormat="1" customHeight="1" s="3">
      <c r="A38" s="196" t="inlineStr">
        <is>
          <t>≥80% at 60 min</t>
        </is>
      </c>
      <c r="B38" s="191" t="inlineStr">
        <is>
          <t>If T-test with p&lt;0.05 is obtained, report the calculated CLint value; When the calculated Clint value &lt;7.50, then report &lt;7.50 instead of calculated value.</t>
        </is>
      </c>
      <c r="E38" s="16" t="n"/>
    </row>
    <row r="39" ht="43.5" customFormat="1" customHeight="1" s="3">
      <c r="A39" s="235" t="n"/>
      <c r="B39" s="197" t="inlineStr">
        <is>
          <t>If T-test with p&lt;0.05 is not obtained, then report &lt;7.50 for CLint value when all the other data points fall in the range of 80%~120% (one data point within the range of 70%~130% is accepted, otherwise the experiment should be repeated).</t>
        </is>
      </c>
      <c r="C39" s="235" t="n"/>
      <c r="D39" s="235" t="n"/>
    </row>
    <row r="40" ht="33" customFormat="1" customHeight="1" s="3">
      <c r="A40" s="190" t="inlineStr">
        <is>
          <t>&lt;80% at 60 min</t>
        </is>
      </c>
      <c r="B40" s="191" t="inlineStr">
        <is>
          <t xml:space="preserve">Always remove from the calculation all points with &lt; 10% left of 0.5 min sample, but leave at least 2 points </t>
        </is>
      </c>
      <c r="E40" s="16" t="n"/>
    </row>
    <row r="41">
      <c r="B41" s="191" t="inlineStr">
        <is>
          <t>If T-test with p&lt;0.05 is obtained, report the calculated CLint value.</t>
        </is>
      </c>
    </row>
    <row r="42" ht="15.75" customHeight="1" thickBot="1">
      <c r="A42" s="231" t="n"/>
      <c r="B42" s="192" t="inlineStr">
        <is>
          <t>If T-test with p&lt;0.05 is not obtained, the experiment must be repeated.</t>
        </is>
      </c>
      <c r="C42" s="231" t="n"/>
      <c r="D42" s="231" t="n"/>
    </row>
  </sheetData>
  <mergeCells count="35">
    <mergeCell ref="B42:D42"/>
    <mergeCell ref="A23:D23"/>
    <mergeCell ref="A8:D8"/>
    <mergeCell ref="A22:D22"/>
    <mergeCell ref="A35:D35"/>
    <mergeCell ref="A20:D20"/>
    <mergeCell ref="A16:D19"/>
    <mergeCell ref="A10:D10"/>
    <mergeCell ref="C26:C27"/>
    <mergeCell ref="B38:D38"/>
    <mergeCell ref="A13:D13"/>
    <mergeCell ref="A9:D9"/>
    <mergeCell ref="B37:D37"/>
    <mergeCell ref="A34:D34"/>
    <mergeCell ref="A25:E25"/>
    <mergeCell ref="A26:A27"/>
    <mergeCell ref="B40:D40"/>
    <mergeCell ref="A15:D15"/>
    <mergeCell ref="A24:D24"/>
    <mergeCell ref="A11:D11"/>
    <mergeCell ref="A40:A42"/>
    <mergeCell ref="A36:D36"/>
    <mergeCell ref="A1:D1"/>
    <mergeCell ref="B41:D41"/>
    <mergeCell ref="A7:D7"/>
    <mergeCell ref="E26:E27"/>
    <mergeCell ref="A38:A39"/>
    <mergeCell ref="A12:D12"/>
    <mergeCell ref="D26:D27"/>
    <mergeCell ref="A3:D3"/>
    <mergeCell ref="A21:D21"/>
    <mergeCell ref="A33:D33"/>
    <mergeCell ref="A2:D2"/>
    <mergeCell ref="B39:D39"/>
    <mergeCell ref="A14:D14"/>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I24"/>
  <sheetViews>
    <sheetView zoomScaleNormal="100" workbookViewId="0">
      <selection activeCell="A1" sqref="A1:G1"/>
    </sheetView>
  </sheetViews>
  <sheetFormatPr baseColWidth="10" defaultColWidth="9" defaultRowHeight="15"/>
  <cols>
    <col width="21.6640625" customWidth="1" style="3" min="1" max="1"/>
    <col width="12.6640625" customWidth="1" style="3" min="2" max="7"/>
    <col width="9" customWidth="1" style="3" min="8" max="16384"/>
  </cols>
  <sheetData>
    <row r="1" ht="20" customHeight="1">
      <c r="A1" s="184" t="inlineStr">
        <is>
          <t>Bioanalytical Method</t>
        </is>
      </c>
      <c r="H1" s="184" t="n"/>
      <c r="I1" s="184" t="n"/>
    </row>
    <row r="2">
      <c r="A2" s="199" t="inlineStr">
        <is>
          <t>1. Chromatographic conditions</t>
        </is>
      </c>
      <c r="H2" s="199" t="n"/>
      <c r="I2" s="199" t="n"/>
    </row>
    <row r="3">
      <c r="A3" s="200" t="inlineStr">
        <is>
          <t xml:space="preserve">LC system: Shimadzu </t>
        </is>
      </c>
      <c r="H3" s="200" t="n"/>
      <c r="I3" s="200" t="n"/>
    </row>
    <row r="4">
      <c r="A4" s="200" t="inlineStr">
        <is>
          <t>MS analysis: Triple Quad™ 4500 instrument from AB Inc with an ESI interface</t>
        </is>
      </c>
      <c r="H4" s="200" t="n"/>
      <c r="I4" s="200" t="n"/>
    </row>
    <row r="5">
      <c r="A5" s="200" t="inlineStr">
        <is>
          <t>Column temperature: 40°C</t>
        </is>
      </c>
      <c r="H5" s="200" t="n"/>
      <c r="I5" s="200" t="n"/>
    </row>
    <row r="6">
      <c r="A6" s="200" t="inlineStr">
        <is>
          <t>Column: XSelect® HSS T3 2.5 μm 2.1×50 mm Column XP</t>
        </is>
      </c>
      <c r="H6" s="200" t="n"/>
      <c r="I6" s="200" t="n"/>
    </row>
    <row r="7">
      <c r="A7" s="200" t="inlineStr">
        <is>
          <t>Mobile phase: 0.1% formic acid in water (A) and 0.1% formic acid in acetonitrile (B)</t>
        </is>
      </c>
      <c r="H7" s="200" t="n"/>
      <c r="I7" s="200" t="n"/>
    </row>
    <row r="8">
      <c r="A8" s="200" t="inlineStr">
        <is>
          <t>Injection volume: 5 µL</t>
        </is>
      </c>
      <c r="H8" s="200" t="n"/>
      <c r="I8" s="200" t="n"/>
    </row>
    <row r="9" ht="16" customHeight="1" thickBot="1">
      <c r="A9" s="201" t="inlineStr">
        <is>
          <t>Elution rate: 0.7 mL/min</t>
        </is>
      </c>
      <c r="B9" s="231" t="n"/>
      <c r="C9" s="231" t="n"/>
      <c r="D9" s="231" t="n"/>
      <c r="E9" s="231" t="n"/>
      <c r="F9" s="231" t="n"/>
      <c r="G9" s="231" t="n"/>
      <c r="H9" s="200" t="n"/>
      <c r="I9" s="200" t="n"/>
    </row>
    <row r="10" ht="16" customHeight="1">
      <c r="A10" s="4" t="inlineStr">
        <is>
          <t>Time (min)</t>
        </is>
      </c>
      <c r="B10" s="52" t="n">
        <v>0</v>
      </c>
      <c r="C10" s="52" t="n">
        <v>0.2</v>
      </c>
      <c r="D10" s="52" t="n">
        <v>0.7</v>
      </c>
      <c r="E10" s="52" t="n">
        <v>1.2</v>
      </c>
      <c r="F10" s="52" t="n">
        <v>1.25</v>
      </c>
      <c r="G10" s="80" t="n">
        <v>1.5</v>
      </c>
    </row>
    <row r="11" ht="17" customHeight="1" thickBot="1">
      <c r="A11" s="5" t="inlineStr">
        <is>
          <t>% B</t>
        </is>
      </c>
      <c r="B11" s="26" t="n">
        <v>5</v>
      </c>
      <c r="C11" s="26" t="n">
        <v>5</v>
      </c>
      <c r="D11" s="26" t="n">
        <v>95</v>
      </c>
      <c r="E11" s="26" t="n">
        <v>95</v>
      </c>
      <c r="F11" s="26" t="n">
        <v>5</v>
      </c>
      <c r="G11" s="81" t="n">
        <v>5</v>
      </c>
    </row>
    <row r="12">
      <c r="A12" s="202" t="n"/>
      <c r="B12" s="232" t="n"/>
      <c r="C12" s="232" t="n"/>
      <c r="D12" s="232" t="n"/>
      <c r="E12" s="232" t="n"/>
      <c r="F12" s="232" t="n"/>
      <c r="G12" s="232" t="n"/>
      <c r="H12" s="61" t="n"/>
      <c r="I12" s="61" t="n"/>
    </row>
    <row r="13">
      <c r="A13" s="203" t="inlineStr">
        <is>
          <t>2. MS parameters</t>
        </is>
      </c>
      <c r="H13" s="203" t="n"/>
      <c r="I13" s="203" t="n"/>
    </row>
    <row r="14">
      <c r="A14" s="198" t="inlineStr">
        <is>
          <t xml:space="preserve">Ion source: Turbo spray </t>
        </is>
      </c>
      <c r="H14" s="198" t="n"/>
      <c r="I14" s="198" t="n"/>
    </row>
    <row r="15">
      <c r="A15" s="198" t="inlineStr">
        <is>
          <t>Ionization model: ESI</t>
        </is>
      </c>
      <c r="H15" s="198" t="n"/>
      <c r="I15" s="198" t="n"/>
    </row>
    <row r="16">
      <c r="A16" s="198" t="inlineStr">
        <is>
          <t>Scan type: MRM</t>
        </is>
      </c>
      <c r="H16" s="198" t="n"/>
      <c r="I16" s="198" t="n"/>
    </row>
    <row r="17">
      <c r="A17" s="198" t="inlineStr">
        <is>
          <t>Curtain gas: 40 L/min</t>
        </is>
      </c>
      <c r="H17" s="198" t="n"/>
      <c r="I17" s="198" t="n"/>
    </row>
    <row r="18">
      <c r="A18" s="198" t="inlineStr">
        <is>
          <t>Collision gas: 9 L/min</t>
        </is>
      </c>
      <c r="H18" s="198" t="n"/>
      <c r="I18" s="198" t="n"/>
    </row>
    <row r="19">
      <c r="A19" s="198" t="inlineStr">
        <is>
          <t>Nebulize gas: 55 L/min</t>
        </is>
      </c>
      <c r="H19" s="198" t="n"/>
      <c r="I19" s="198" t="n"/>
    </row>
    <row r="20">
      <c r="A20" s="198" t="inlineStr">
        <is>
          <t>Auxiliary gas: 55 L/min</t>
        </is>
      </c>
      <c r="H20" s="198" t="n"/>
      <c r="I20" s="198" t="n"/>
    </row>
    <row r="21">
      <c r="A21" s="198" t="inlineStr">
        <is>
          <t>Temperature: 500°C</t>
        </is>
      </c>
      <c r="H21" s="198" t="n"/>
      <c r="I21" s="198" t="n"/>
    </row>
    <row r="22" ht="16" customHeight="1" thickBot="1">
      <c r="A22" s="198" t="inlineStr">
        <is>
          <t>Ionspray voltage: +5500 V (positive)</t>
        </is>
      </c>
      <c r="H22" s="198" t="n"/>
      <c r="I22" s="198" t="n"/>
    </row>
    <row r="23" ht="16" customHeight="1">
      <c r="A23" s="6" t="inlineStr">
        <is>
          <t>Compound ID</t>
        </is>
      </c>
      <c r="B23" s="7" t="inlineStr">
        <is>
          <t>Q1 (m/z)</t>
        </is>
      </c>
      <c r="C23" s="7" t="inlineStr">
        <is>
          <t>Q3 (m/z)</t>
        </is>
      </c>
      <c r="D23" s="7" t="inlineStr">
        <is>
          <t>DP (v)</t>
        </is>
      </c>
      <c r="E23" s="8" t="inlineStr">
        <is>
          <t>CE (v)</t>
        </is>
      </c>
    </row>
    <row r="24" ht="16" customHeight="1" thickBot="1">
      <c r="A24" s="82" t="inlineStr">
        <is>
          <t>PH-NTU-00-00-000-1</t>
        </is>
      </c>
      <c r="B24" s="68" t="n">
        <v>461.305</v>
      </c>
      <c r="C24" s="68" t="n">
        <v>391.162</v>
      </c>
      <c r="D24" s="69" t="n">
        <v>100</v>
      </c>
      <c r="E24" s="70" t="n">
        <v>34</v>
      </c>
    </row>
  </sheetData>
  <mergeCells count="20">
    <mergeCell ref="A14:G14"/>
    <mergeCell ref="A17:G17"/>
    <mergeCell ref="A8:G8"/>
    <mergeCell ref="A22:G22"/>
    <mergeCell ref="A4:G4"/>
    <mergeCell ref="A20:G20"/>
    <mergeCell ref="A19:G19"/>
    <mergeCell ref="A13:G13"/>
    <mergeCell ref="A9:G9"/>
    <mergeCell ref="A15:G15"/>
    <mergeCell ref="A1:G1"/>
    <mergeCell ref="A6:G6"/>
    <mergeCell ref="A16:G16"/>
    <mergeCell ref="A7:G7"/>
    <mergeCell ref="A18:G18"/>
    <mergeCell ref="A3:G3"/>
    <mergeCell ref="A21:G21"/>
    <mergeCell ref="A12:G12"/>
    <mergeCell ref="A2:G2"/>
    <mergeCell ref="A5:G5"/>
  </mergeCell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R44"/>
  <sheetViews>
    <sheetView zoomScale="85" zoomScaleNormal="85" workbookViewId="0">
      <selection activeCell="A1" sqref="A1"/>
    </sheetView>
  </sheetViews>
  <sheetFormatPr baseColWidth="10" defaultColWidth="9" defaultRowHeight="15"/>
  <cols>
    <col width="20" customWidth="1" style="100" min="1" max="1"/>
    <col width="35.1640625" bestFit="1" customWidth="1" style="100" min="2" max="2"/>
    <col width="13.33203125" customWidth="1" style="100" min="3" max="3"/>
    <col width="10.1640625" customWidth="1" style="100" min="4" max="4"/>
    <col width="9.6640625" customWidth="1" style="109" min="5" max="5"/>
    <col width="16.1640625" customWidth="1" style="109" min="6" max="6"/>
    <col width="11.6640625" customWidth="1" style="114" min="7" max="8"/>
    <col width="8" customWidth="1" style="114" min="9" max="9"/>
    <col width="13.6640625" customWidth="1" style="114" min="10" max="10"/>
    <col width="12.83203125" customWidth="1" style="114" min="11" max="11"/>
    <col width="13.6640625" customWidth="1" style="114" min="12" max="12"/>
    <col width="13.33203125" bestFit="1" customWidth="1" style="114" min="13" max="13"/>
    <col width="13.33203125" customWidth="1" style="100" min="14" max="15"/>
    <col width="11.1640625" bestFit="1" customWidth="1" style="114" min="16" max="16"/>
    <col width="11.6640625" bestFit="1" customWidth="1" style="100" min="17" max="18"/>
    <col width="9" customWidth="1" style="109" min="19" max="16384"/>
  </cols>
  <sheetData>
    <row r="1"/>
    <row r="2" ht="48" customHeight="1">
      <c r="A2" s="100" t="inlineStr">
        <is>
          <t>Cpd01</t>
        </is>
      </c>
      <c r="B2" s="101" t="inlineStr">
        <is>
          <t>Sample Name</t>
        </is>
      </c>
      <c r="C2" s="101" t="inlineStr">
        <is>
          <t>Analyte Peak Area (counts)</t>
        </is>
      </c>
      <c r="D2" s="101" t="inlineStr">
        <is>
          <t>IS Peak Area (counts)</t>
        </is>
      </c>
      <c r="E2" s="102" t="inlineStr">
        <is>
          <t>Area Ratio</t>
        </is>
      </c>
      <c r="F2" s="101" t="inlineStr">
        <is>
          <t>Analyte Retention Time (min)</t>
        </is>
      </c>
      <c r="G2" s="205" t="inlineStr">
        <is>
          <t>Mean of Clint
 (μL/min/mg protein)</t>
        </is>
      </c>
      <c r="I2" s="103">
        <f>IF(AND(I3="NV",I4="NV"),"NV",AVERAGE(I3:I4))</f>
        <v/>
      </c>
      <c r="J2" s="104" t="inlineStr">
        <is>
          <t>Time (min)</t>
        </is>
      </c>
      <c r="K2" s="105" t="inlineStr">
        <is>
          <t>%Remaining-1</t>
        </is>
      </c>
      <c r="L2" s="105" t="inlineStr">
        <is>
          <t>%Remaining-2</t>
        </is>
      </c>
      <c r="M2" s="105" t="inlineStr">
        <is>
          <t>%Remaining-N</t>
        </is>
      </c>
      <c r="N2" s="106" t="inlineStr">
        <is>
          <t>LN of %Remaining-1</t>
        </is>
      </c>
      <c r="O2" s="106" t="inlineStr">
        <is>
          <t>LN of %Remaining-2</t>
        </is>
      </c>
      <c r="P2" s="107" t="inlineStr">
        <is>
          <t>Mean of %Remaining</t>
        </is>
      </c>
      <c r="Q2" s="108" t="inlineStr">
        <is>
          <t xml:space="preserve"> LN (Mean of %Remaining)</t>
        </is>
      </c>
      <c r="R2" s="108" t="inlineStr">
        <is>
          <t xml:space="preserve"> LN (Mean of %Remaining)</t>
        </is>
      </c>
    </row>
    <row r="3">
      <c r="A3" s="100" t="inlineStr">
        <is>
          <t>Verapamil</t>
        </is>
      </c>
      <c r="B3" s="110" t="inlineStr">
        <is>
          <t>Blank-HLM</t>
        </is>
      </c>
      <c r="C3" s="111" t="n">
        <v>0</v>
      </c>
      <c r="D3" s="111" t="n">
        <v>84800</v>
      </c>
      <c r="E3" s="112" t="n">
        <v>0</v>
      </c>
      <c r="F3" s="112" t="n">
        <v>0</v>
      </c>
      <c r="G3" s="204" t="inlineStr">
        <is>
          <t>Clint-1</t>
        </is>
      </c>
      <c r="I3" s="113">
        <f>IF(K4=0,"NV",-M14*2000)</f>
        <v/>
      </c>
      <c r="J3" s="114" t="n">
        <v>0.5</v>
      </c>
      <c r="K3" s="86">
        <f>100*E12/E12</f>
        <v/>
      </c>
      <c r="L3" s="86">
        <f>100*E13/E13</f>
        <v/>
      </c>
      <c r="M3" s="86">
        <f>100*E16/E16</f>
        <v/>
      </c>
      <c r="N3" s="115">
        <f>LN(K3)</f>
        <v/>
      </c>
      <c r="O3" s="115">
        <f>LN(L3)</f>
        <v/>
      </c>
      <c r="P3" s="86">
        <f>100*AVERAGE(E12:E13)/AVERAGE(E12:E13)</f>
        <v/>
      </c>
      <c r="Q3" s="115">
        <f>LN(P3)</f>
        <v/>
      </c>
      <c r="R3" s="115">
        <f>LN(P3)</f>
        <v/>
      </c>
    </row>
    <row r="4">
      <c r="A4" s="116">
        <f>CONCATENATE("Stability of ",A3," in ",REPLACE(CELL("filename",A5),1,FIND("]",CELL("filename")),A5))</f>
        <v/>
      </c>
      <c r="B4" s="110" t="inlineStr">
        <is>
          <t>MS11-20231215-Group 1-HLM-60min-1</t>
        </is>
      </c>
      <c r="C4" s="111" t="n">
        <v>1060</v>
      </c>
      <c r="D4" s="111" t="n">
        <v>89200</v>
      </c>
      <c r="E4" s="112" t="n">
        <v>0.0119</v>
      </c>
      <c r="F4" s="112" t="n">
        <v>0.819</v>
      </c>
      <c r="G4" s="204" t="inlineStr">
        <is>
          <t>Clint-2</t>
        </is>
      </c>
      <c r="I4" s="113">
        <f>IF(L4=0,"NV",-O14*2000)</f>
        <v/>
      </c>
      <c r="J4" s="114" t="n">
        <v>5</v>
      </c>
      <c r="K4" s="209">
        <f>100*E10/E12</f>
        <v/>
      </c>
      <c r="L4" s="209">
        <f>100*E11/E13</f>
        <v/>
      </c>
      <c r="M4" s="209" t="n"/>
      <c r="N4" s="115">
        <f>IF(AND(K4=0,L4=0),LN(10),LN(K4))</f>
        <v/>
      </c>
      <c r="O4" s="115">
        <f>IF(AND(K4=0,L4=0),LN(10),LN(L4))</f>
        <v/>
      </c>
      <c r="P4" s="209">
        <f>AVERAGE(K4:L4)</f>
        <v/>
      </c>
      <c r="Q4" s="115">
        <f>IF(P4=0,LN(10),LN(P4))</f>
        <v/>
      </c>
      <c r="R4" s="115">
        <f>IF(P4=0,LN(10),LN(P4))</f>
        <v/>
      </c>
    </row>
    <row r="5" ht="17" customHeight="1">
      <c r="B5" s="110" t="inlineStr">
        <is>
          <t>MS11-20231215-Group 1-HLM-60min-2</t>
        </is>
      </c>
      <c r="C5" s="111" t="n">
        <v>1290</v>
      </c>
      <c r="D5" s="111" t="n">
        <v>82800</v>
      </c>
      <c r="E5" s="112" t="n">
        <v>0.0156</v>
      </c>
      <c r="F5" s="112" t="n">
        <v>0.8159999999999999</v>
      </c>
      <c r="G5" s="206" t="inlineStr">
        <is>
          <t>Mean of t1/2 (min)</t>
        </is>
      </c>
      <c r="I5" s="117">
        <f>IF(AND(I6="NV",I7="NV"),"NV",AVERAGE(I6:I7))</f>
        <v/>
      </c>
      <c r="J5" s="114" t="n">
        <v>15</v>
      </c>
      <c r="K5" s="209">
        <f>100*E8/E12</f>
        <v/>
      </c>
      <c r="L5" s="209">
        <f>100*E9/E13</f>
        <v/>
      </c>
      <c r="M5" s="209" t="n"/>
      <c r="N5" s="115">
        <f>IF(N4=LN(10),"",IF(P5&lt;10,"",LN(K5)))</f>
        <v/>
      </c>
      <c r="O5" s="115">
        <f>IF(O4=LN(10),"",IF(P5&lt;10,"",LN(L5)))</f>
        <v/>
      </c>
      <c r="P5" s="209">
        <f>AVERAGE(K5:L5)</f>
        <v/>
      </c>
      <c r="Q5" s="115">
        <f>IF(Q4=LN(10),"",IF(P5&gt;=10,LN(P5),""))</f>
        <v/>
      </c>
      <c r="R5" s="115">
        <f>IF(R4=LN(10),NA(),IF(P5&gt;=10,LN(P5),NA()))</f>
        <v/>
      </c>
    </row>
    <row r="6" ht="17" customHeight="1">
      <c r="B6" s="110" t="inlineStr">
        <is>
          <t>MS11-20231215-Group 1-HLM-30min-1</t>
        </is>
      </c>
      <c r="C6" s="111" t="n">
        <v>4500</v>
      </c>
      <c r="D6" s="111" t="n">
        <v>90000</v>
      </c>
      <c r="E6" s="112" t="n">
        <v>0.0501</v>
      </c>
      <c r="F6" s="112" t="n">
        <v>0.829</v>
      </c>
      <c r="G6" s="204" t="inlineStr">
        <is>
          <t>t1/2-1</t>
        </is>
      </c>
      <c r="I6" s="113">
        <f>IF(I3="NV","NV",-0.693/M14)</f>
        <v/>
      </c>
      <c r="J6" s="114" t="n">
        <v>30</v>
      </c>
      <c r="K6" s="209">
        <f>100*E6/E12</f>
        <v/>
      </c>
      <c r="L6" s="209">
        <f>100*E7/E13</f>
        <v/>
      </c>
      <c r="M6" s="209" t="n"/>
      <c r="N6" s="115">
        <f>IF(N4=LN(10),"",IF(P6&lt;10,"",LN(K6)))</f>
        <v/>
      </c>
      <c r="O6" s="115">
        <f>IF(O4=LN(10),"",IF(P6&lt;10,"",LN(L6)))</f>
        <v/>
      </c>
      <c r="P6" s="209">
        <f>AVERAGE(K6:L6)</f>
        <v/>
      </c>
      <c r="Q6" s="115">
        <f>IF(Q4=LN(10),"",IF(P6&gt;=10,LN(P6),""))</f>
        <v/>
      </c>
      <c r="R6" s="115" t="n"/>
    </row>
    <row r="7" ht="17" customHeight="1">
      <c r="B7" s="110" t="inlineStr">
        <is>
          <t>MS11-20231215-Group 1-HLM-30min-2</t>
        </is>
      </c>
      <c r="C7" s="111" t="n">
        <v>4420</v>
      </c>
      <c r="D7" s="111" t="n">
        <v>79000</v>
      </c>
      <c r="E7" s="112" t="n">
        <v>0.0559</v>
      </c>
      <c r="F7" s="112" t="n">
        <v>0.827</v>
      </c>
      <c r="G7" s="204" t="inlineStr">
        <is>
          <t>t1/2-2</t>
        </is>
      </c>
      <c r="I7" s="113">
        <f>IF(I4="NV","NV",-0.693/O14)</f>
        <v/>
      </c>
      <c r="J7" s="118" t="n">
        <v>60</v>
      </c>
      <c r="K7" s="88">
        <f>100*E4/E12</f>
        <v/>
      </c>
      <c r="L7" s="88">
        <f>100*E5/E13</f>
        <v/>
      </c>
      <c r="M7" s="88">
        <f>100*E15/E16</f>
        <v/>
      </c>
      <c r="N7" s="119">
        <f>IF(N4=LN(10),"",IF(P7&lt;10,"",LN(K7)))</f>
        <v/>
      </c>
      <c r="O7" s="119">
        <f>IF(O4=LN(10),"",IF(P7&lt;10,"",LN(L7)))</f>
        <v/>
      </c>
      <c r="P7" s="88">
        <f>AVERAGE(K7:L7)</f>
        <v/>
      </c>
      <c r="Q7" s="119">
        <f>IF(Q4=LN(10),"",IF(P7&gt;=10,LN(P7),""))</f>
        <v/>
      </c>
      <c r="R7" s="119" t="n"/>
    </row>
    <row r="8">
      <c r="B8" s="110" t="inlineStr">
        <is>
          <t>MS11-20231215-Group 1-HLM-15min-1</t>
        </is>
      </c>
      <c r="C8" s="111" t="n">
        <v>13900</v>
      </c>
      <c r="D8" s="111" t="n">
        <v>85500</v>
      </c>
      <c r="E8" s="112" t="n">
        <v>0.162</v>
      </c>
      <c r="F8" s="112" t="n">
        <v>0.8169999999999999</v>
      </c>
      <c r="G8" s="207" t="inlineStr">
        <is>
          <t>P&lt;0.05 (Mean of %Remaining)</t>
        </is>
      </c>
      <c r="I8" s="120">
        <f>IF(K13=2,"Yes",IF(ABS(K16)&gt;K12,"Yes","No"))</f>
        <v/>
      </c>
      <c r="K8" s="86" t="n"/>
      <c r="L8" s="86" t="n"/>
      <c r="M8" s="86" t="n"/>
      <c r="N8" s="115" t="n"/>
      <c r="O8" s="115" t="n"/>
      <c r="P8" s="86" t="n"/>
      <c r="Q8" s="115" t="n"/>
      <c r="R8" s="115" t="n"/>
    </row>
    <row r="9">
      <c r="B9" s="110" t="inlineStr">
        <is>
          <t>MS11-20231215-Group 1-HLM-15min-2</t>
        </is>
      </c>
      <c r="C9" s="111" t="n">
        <v>13300</v>
      </c>
      <c r="D9" s="111" t="n">
        <v>87700</v>
      </c>
      <c r="E9" s="112" t="n">
        <v>0.151</v>
      </c>
      <c r="F9" s="112" t="n">
        <v>0.825</v>
      </c>
      <c r="G9" s="208" t="inlineStr">
        <is>
          <t>P&lt;0.05-1</t>
        </is>
      </c>
      <c r="I9" s="121">
        <f>IF(M13=2,"Yes",IF(ABS(M16)&gt;M12,"Yes","No"))</f>
        <v/>
      </c>
      <c r="J9" s="122" t="n"/>
      <c r="K9" s="122" t="n"/>
      <c r="L9" s="122" t="n"/>
      <c r="M9" s="122" t="n"/>
      <c r="N9" s="123" t="n"/>
      <c r="O9" s="123" t="n"/>
      <c r="P9" s="122" t="n"/>
      <c r="Q9" s="123" t="n"/>
      <c r="R9" s="123" t="n"/>
    </row>
    <row r="10">
      <c r="B10" s="110" t="inlineStr">
        <is>
          <t>MS11-20231215-Group 1-HLM-5min-1</t>
        </is>
      </c>
      <c r="C10" s="111" t="n">
        <v>44400</v>
      </c>
      <c r="D10" s="111" t="n">
        <v>84800</v>
      </c>
      <c r="E10" s="112" t="n">
        <v>0.524</v>
      </c>
      <c r="F10" s="112" t="n">
        <v>0.826</v>
      </c>
      <c r="G10" s="208" t="inlineStr">
        <is>
          <t>P&lt;0.05-2</t>
        </is>
      </c>
      <c r="I10" s="121">
        <f>IF(O13=2,"Yes",IF(ABS(O16)&gt;O12,"Yes","No"))</f>
        <v/>
      </c>
      <c r="J10" s="124" t="inlineStr">
        <is>
          <t>r</t>
        </is>
      </c>
      <c r="K10" s="125">
        <f>CORREL(Q3:Q7,J3:J7)</f>
        <v/>
      </c>
      <c r="L10" s="124" t="inlineStr">
        <is>
          <t>r</t>
        </is>
      </c>
      <c r="M10" s="125">
        <f>CORREL(N3:N7,J3:J7)</f>
        <v/>
      </c>
      <c r="N10" s="126" t="inlineStr">
        <is>
          <t>r</t>
        </is>
      </c>
      <c r="O10" s="127">
        <f>CORREL(O3:O7,J3:J7)</f>
        <v/>
      </c>
      <c r="P10" s="128" t="n"/>
      <c r="Q10" s="129" t="n"/>
      <c r="R10" s="129" t="n"/>
    </row>
    <row r="11" ht="17" customHeight="1">
      <c r="B11" s="110" t="inlineStr">
        <is>
          <t>MS11-20231215-Group 1-HLM-5min-2</t>
        </is>
      </c>
      <c r="C11" s="111" t="n">
        <v>44600</v>
      </c>
      <c r="D11" s="111" t="n">
        <v>77000</v>
      </c>
      <c r="E11" s="112" t="n">
        <v>0.579</v>
      </c>
      <c r="F11" s="112" t="n">
        <v>0.828</v>
      </c>
      <c r="G11" s="207" t="inlineStr">
        <is>
          <t>R2 (Mean of %Remaining)</t>
        </is>
      </c>
      <c r="I11" s="130">
        <f>RSQ(J3:J7,Q3:Q7)</f>
        <v/>
      </c>
      <c r="J11" s="124" t="inlineStr">
        <is>
          <t>t-value</t>
        </is>
      </c>
      <c r="K11" s="131">
        <f>K10/((1-K10^2)/(K13-2))^0.5</f>
        <v/>
      </c>
      <c r="L11" s="124" t="inlineStr">
        <is>
          <t>t-value</t>
        </is>
      </c>
      <c r="M11" s="131">
        <f>M10/((1-M10^2)/(M13-2))^0.5</f>
        <v/>
      </c>
      <c r="N11" s="126" t="inlineStr">
        <is>
          <t>t-value</t>
        </is>
      </c>
      <c r="O11" s="132">
        <f>O10/((1-O10^2)/(O13-2))^0.5</f>
        <v/>
      </c>
      <c r="P11" s="128" t="n"/>
      <c r="Q11" s="129" t="n"/>
      <c r="R11" s="129" t="n"/>
    </row>
    <row r="12" ht="17" customHeight="1">
      <c r="B12" s="110" t="inlineStr">
        <is>
          <t>MS11-20231215-Group 1-HLM-0.5min-1</t>
        </is>
      </c>
      <c r="C12" s="111" t="n">
        <v>78700</v>
      </c>
      <c r="D12" s="111" t="n">
        <v>85900</v>
      </c>
      <c r="E12" s="112" t="n">
        <v>0.917</v>
      </c>
      <c r="F12" s="112" t="n">
        <v>0.828</v>
      </c>
      <c r="G12" s="208" t="inlineStr">
        <is>
          <t>R2-1</t>
        </is>
      </c>
      <c r="I12" s="133">
        <f>RSQ(J3:J7,N3:N7)</f>
        <v/>
      </c>
      <c r="J12" s="124" t="inlineStr">
        <is>
          <t>t0.05 criteria</t>
        </is>
      </c>
      <c r="K12" s="134">
        <f>TINV(0.05,(K13-2))</f>
        <v/>
      </c>
      <c r="L12" s="124" t="inlineStr">
        <is>
          <t>t0.05 criteria</t>
        </is>
      </c>
      <c r="M12" s="134">
        <f>TINV(0.05,(M13-2))</f>
        <v/>
      </c>
      <c r="N12" s="126" t="inlineStr">
        <is>
          <t>t0.05 criteria</t>
        </is>
      </c>
      <c r="O12" s="135">
        <f>TINV(0.05,(O13-2))</f>
        <v/>
      </c>
      <c r="P12" s="125" t="n"/>
      <c r="Q12" s="127" t="n"/>
      <c r="R12" s="127" t="n"/>
    </row>
    <row r="13" ht="17" customHeight="1">
      <c r="B13" s="110" t="inlineStr">
        <is>
          <t>MS11-20231215-Group 1-HLM-0.5min-2</t>
        </is>
      </c>
      <c r="C13" s="111" t="n">
        <v>81300</v>
      </c>
      <c r="D13" s="111" t="n">
        <v>74300</v>
      </c>
      <c r="E13" s="112" t="n">
        <v>1.09</v>
      </c>
      <c r="F13" s="112" t="n">
        <v>0.8149999999999999</v>
      </c>
      <c r="G13" s="208" t="inlineStr">
        <is>
          <t>R2-2</t>
        </is>
      </c>
      <c r="I13" s="133">
        <f>RSQ(J3:J7,O3:O7)</f>
        <v/>
      </c>
      <c r="J13" s="124" t="inlineStr">
        <is>
          <t>number of data</t>
        </is>
      </c>
      <c r="K13" s="136">
        <f>COUNT(Q3:Q7)</f>
        <v/>
      </c>
      <c r="L13" s="124" t="inlineStr">
        <is>
          <t>number of data</t>
        </is>
      </c>
      <c r="M13" s="136">
        <f>COUNT(N3:N7)</f>
        <v/>
      </c>
      <c r="N13" s="126" t="inlineStr">
        <is>
          <t>number of data</t>
        </is>
      </c>
      <c r="O13" s="137">
        <f>COUNT(O3:O7)</f>
        <v/>
      </c>
      <c r="P13" s="131" t="n"/>
      <c r="Q13" s="132" t="n"/>
      <c r="R13" s="132" t="n"/>
    </row>
    <row r="14">
      <c r="B14" s="110" t="inlineStr">
        <is>
          <t>STD-HLM</t>
        </is>
      </c>
      <c r="C14" s="111" t="n">
        <v>88400</v>
      </c>
      <c r="D14" s="111" t="n">
        <v>81600</v>
      </c>
      <c r="E14" s="112" t="n">
        <v>1.08</v>
      </c>
      <c r="F14" s="112" t="n">
        <v>0.8149999999999999</v>
      </c>
      <c r="G14" s="207" t="inlineStr">
        <is>
          <t>IS CV%</t>
        </is>
      </c>
      <c r="I14" s="103">
        <f>100*STDEV(D4:D13)/AVERAGE(D4:D13)</f>
        <v/>
      </c>
      <c r="J14" s="124" t="inlineStr">
        <is>
          <t>Slope</t>
        </is>
      </c>
      <c r="K14" s="125">
        <f>SLOPE(Q3:Q7,J3:J7)</f>
        <v/>
      </c>
      <c r="L14" s="124" t="inlineStr">
        <is>
          <t>Slope-1</t>
        </is>
      </c>
      <c r="M14" s="125">
        <f>SLOPE(N3:N7,J3:J7)</f>
        <v/>
      </c>
      <c r="N14" s="126" t="inlineStr">
        <is>
          <t>Slope-2</t>
        </is>
      </c>
      <c r="O14" s="127">
        <f>SLOPE(O3:O7,J3:J7)</f>
        <v/>
      </c>
      <c r="P14" s="134" t="n"/>
      <c r="Q14" s="135" t="n"/>
      <c r="R14" s="135" t="n"/>
    </row>
    <row r="15">
      <c r="B15" s="138" t="inlineStr">
        <is>
          <t>MS11-20231215-Group 1-HLM-60min-N</t>
        </is>
      </c>
      <c r="C15" s="139" t="n">
        <v>86700</v>
      </c>
      <c r="D15" s="139" t="n">
        <v>78300</v>
      </c>
      <c r="E15" s="140" t="n">
        <v>1.11</v>
      </c>
      <c r="F15" s="112" t="n">
        <v>0.8149999999999999</v>
      </c>
      <c r="G15" s="207" t="inlineStr">
        <is>
          <t>Slope</t>
        </is>
      </c>
      <c r="I15" s="141">
        <f>K14</f>
        <v/>
      </c>
      <c r="J15" s="124" t="inlineStr">
        <is>
          <t>SE of slope</t>
        </is>
      </c>
      <c r="K15" s="134">
        <f>IF(ISERROR(STEYX(Q3:Q7,J3:J7)/SQRT(DEVSQ(J3:J7))),"",STEYX(Q3:Q7,J3:J7)/SQRT(DEVSQ(J3:J7)))</f>
        <v/>
      </c>
      <c r="L15" s="124" t="inlineStr">
        <is>
          <t>SE of slope</t>
        </is>
      </c>
      <c r="M15" s="134">
        <f>IF(ISERROR(STEYX(N3:N7,J3:J7)/SQRT(DEVSQ(J3:J7))),"",STEYX(N3:N7,J3:J7)/SQRT(DEVSQ(J3:J7)))</f>
        <v/>
      </c>
      <c r="N15" s="126" t="inlineStr">
        <is>
          <t>SE of slope</t>
        </is>
      </c>
      <c r="O15" s="135">
        <f>IF(ISERROR(STEYX(O3:O7,J3:J7)/SQRT(DEVSQ(J3:J7))),"",STEYX(O3:O7,J3:J7)/SQRT(DEVSQ(J3:J7)))</f>
        <v/>
      </c>
      <c r="P15" s="136" t="n"/>
      <c r="Q15" s="137" t="n"/>
      <c r="R15" s="137" t="n"/>
    </row>
    <row r="16">
      <c r="B16" s="138" t="inlineStr">
        <is>
          <t>MS11-20231215-Group 1-HLM-0.5min-N</t>
        </is>
      </c>
      <c r="C16" s="139" t="n">
        <v>84500</v>
      </c>
      <c r="D16" s="139" t="n">
        <v>84000</v>
      </c>
      <c r="E16" s="140" t="n">
        <v>1.01</v>
      </c>
      <c r="F16" s="112" t="n">
        <v>0.829</v>
      </c>
      <c r="G16" s="209" t="n"/>
      <c r="J16" s="124" t="inlineStr">
        <is>
          <t>Slope/SE</t>
        </is>
      </c>
      <c r="K16" s="131">
        <f>IF(ISERROR(K14/K15),"",K14/K15)</f>
        <v/>
      </c>
      <c r="L16" s="124" t="inlineStr">
        <is>
          <t>Slope/SE</t>
        </is>
      </c>
      <c r="M16" s="131">
        <f>IF(ISERROR(M14/M15),"",M14/M15)</f>
        <v/>
      </c>
      <c r="N16" s="126" t="inlineStr">
        <is>
          <t>Slope/SE</t>
        </is>
      </c>
      <c r="O16" s="132">
        <f>IF(ISERROR(O14/O15),"",O14/O15)</f>
        <v/>
      </c>
      <c r="P16" s="125" t="n"/>
      <c r="Q16" s="127" t="n"/>
      <c r="R16" s="127" t="n"/>
    </row>
    <row r="17">
      <c r="C17" s="142" t="n"/>
      <c r="D17" s="142" t="n"/>
      <c r="E17" s="143" t="n"/>
      <c r="F17" s="143" t="n"/>
      <c r="G17" s="209" t="n"/>
      <c r="J17" s="144" t="n"/>
      <c r="K17" s="144" t="n"/>
      <c r="L17" s="144" t="n"/>
      <c r="M17" s="144" t="n"/>
      <c r="N17" s="145" t="n"/>
      <c r="O17" s="145" t="n"/>
      <c r="P17" s="144" t="n"/>
      <c r="Q17" s="145" t="n"/>
      <c r="R17" s="145" t="n"/>
    </row>
    <row r="18">
      <c r="C18" s="142" t="n"/>
      <c r="D18" s="142" t="n"/>
      <c r="E18" s="143" t="n"/>
      <c r="F18" s="143" t="n"/>
      <c r="G18" s="209" t="n"/>
      <c r="J18" s="146" t="n"/>
      <c r="K18" s="146" t="n"/>
      <c r="L18" s="146" t="n"/>
      <c r="M18" s="146" t="n"/>
      <c r="N18" s="147" t="n"/>
      <c r="O18" s="147" t="n"/>
      <c r="P18" s="144" t="n"/>
      <c r="Q18" s="145" t="n"/>
      <c r="R18" s="145" t="n"/>
    </row>
    <row r="19">
      <c r="C19" s="142" t="n"/>
      <c r="D19" s="142" t="n"/>
      <c r="E19" s="143" t="n"/>
      <c r="F19" s="143" t="n"/>
      <c r="G19" s="209" t="n"/>
      <c r="J19" s="144" t="n"/>
      <c r="K19" s="144" t="n"/>
      <c r="L19" s="144" t="n"/>
      <c r="M19" s="144" t="n"/>
      <c r="N19" s="145" t="n"/>
      <c r="O19" s="145" t="n">
        <v>-0.09170065713797154</v>
      </c>
      <c r="P19" s="144" t="n"/>
      <c r="Q19" s="145" t="n"/>
      <c r="R19" s="145" t="n"/>
    </row>
    <row r="20">
      <c r="C20" s="142" t="n"/>
      <c r="D20" s="142" t="n"/>
      <c r="E20" s="143" t="n"/>
      <c r="F20" s="143" t="n"/>
      <c r="G20" s="209" t="n"/>
      <c r="J20" s="144" t="n"/>
      <c r="K20" s="144" t="n"/>
      <c r="L20" s="144" t="n"/>
      <c r="M20" s="144" t="n"/>
      <c r="N20" s="145" t="n"/>
      <c r="O20" s="145" t="n"/>
      <c r="P20" s="144" t="n"/>
      <c r="Q20" s="145" t="n"/>
      <c r="R20" s="145" t="n"/>
    </row>
    <row r="21">
      <c r="C21" s="142" t="n"/>
      <c r="D21" s="142" t="n"/>
      <c r="E21" s="143" t="n"/>
      <c r="F21" s="143" t="n"/>
      <c r="G21" s="209" t="n"/>
      <c r="J21" s="144" t="n"/>
      <c r="K21" s="144" t="n"/>
      <c r="L21" s="144" t="n"/>
      <c r="M21" s="144" t="n"/>
      <c r="N21" s="145" t="n"/>
      <c r="O21" s="145" t="n"/>
      <c r="P21" s="144" t="n"/>
      <c r="Q21" s="145" t="n"/>
      <c r="R21" s="145" t="n"/>
    </row>
    <row r="22" customFormat="1" s="153">
      <c r="A22" s="148" t="n"/>
      <c r="B22" s="148" t="n"/>
      <c r="C22" s="149" t="n"/>
      <c r="D22" s="149" t="n"/>
      <c r="E22" s="150" t="n"/>
      <c r="F22" s="150" t="n"/>
      <c r="G22" s="118" t="n"/>
      <c r="H22" s="118" t="n"/>
      <c r="I22" s="118" t="n"/>
      <c r="J22" s="118" t="n"/>
      <c r="K22" s="118" t="n"/>
      <c r="L22" s="118" t="n"/>
      <c r="M22" s="118" t="n"/>
      <c r="N22" s="151" t="n"/>
      <c r="O22" s="151" t="n"/>
      <c r="P22" s="152" t="n"/>
      <c r="Q22" s="151" t="n"/>
      <c r="R22" s="151" t="n"/>
    </row>
    <row r="23"/>
    <row r="24" ht="48" customHeight="1">
      <c r="A24" s="100" t="inlineStr">
        <is>
          <t>Cpd02</t>
        </is>
      </c>
      <c r="B24" s="101" t="inlineStr">
        <is>
          <t>Sample Name</t>
        </is>
      </c>
      <c r="C24" s="101" t="inlineStr">
        <is>
          <t>Analyte Peak Area (counts)</t>
        </is>
      </c>
      <c r="D24" s="101" t="inlineStr">
        <is>
          <t>IS Peak Area (counts)</t>
        </is>
      </c>
      <c r="E24" s="102" t="inlineStr">
        <is>
          <t>Area Ratio</t>
        </is>
      </c>
      <c r="F24" s="101" t="inlineStr">
        <is>
          <t>Analyte Retention Time (min)</t>
        </is>
      </c>
      <c r="G24" s="205" t="inlineStr">
        <is>
          <t>Mean of Clint
 (μL/min/mg protein)</t>
        </is>
      </c>
      <c r="I24" s="103">
        <f>IF(AND(I25="NV",I26="NV"),"NV",AVERAGE(I25:I26))</f>
        <v/>
      </c>
      <c r="J24" s="104" t="inlineStr">
        <is>
          <t>Time (min)</t>
        </is>
      </c>
      <c r="K24" s="105" t="inlineStr">
        <is>
          <t>%Remaining-1</t>
        </is>
      </c>
      <c r="L24" s="105" t="inlineStr">
        <is>
          <t>%Remaining-2</t>
        </is>
      </c>
      <c r="M24" s="105" t="inlineStr">
        <is>
          <t>%Remaining-N</t>
        </is>
      </c>
      <c r="N24" s="106" t="inlineStr">
        <is>
          <t>LN of %Remaining-1</t>
        </is>
      </c>
      <c r="O24" s="106" t="inlineStr">
        <is>
          <t>LN of %Remaining-2</t>
        </is>
      </c>
      <c r="P24" s="107" t="inlineStr">
        <is>
          <t>Mean of %Remaining</t>
        </is>
      </c>
      <c r="Q24" s="108" t="inlineStr">
        <is>
          <t xml:space="preserve"> LN (Mean of %Remaining)</t>
        </is>
      </c>
      <c r="R24" s="108" t="inlineStr">
        <is>
          <t xml:space="preserve"> LN (Mean of %Remaining)</t>
        </is>
      </c>
    </row>
    <row r="25">
      <c r="A25" s="100" t="inlineStr">
        <is>
          <t>PH-NTU-00-00-000-1</t>
        </is>
      </c>
      <c r="B25" s="110" t="inlineStr">
        <is>
          <t>Blank-HLM</t>
        </is>
      </c>
      <c r="C25" s="111" t="n">
        <v>0</v>
      </c>
      <c r="D25" s="111" t="n">
        <v>117000</v>
      </c>
      <c r="E25" s="112" t="n">
        <v>0</v>
      </c>
      <c r="F25" s="112" t="n">
        <v>0</v>
      </c>
      <c r="G25" s="204" t="inlineStr">
        <is>
          <t>Clint-1</t>
        </is>
      </c>
      <c r="I25" s="113">
        <f>IF(K26=0,"NV",-M36*2000)</f>
        <v/>
      </c>
      <c r="J25" s="114" t="n">
        <v>0.5</v>
      </c>
      <c r="K25" s="86">
        <f>100*E34/E34</f>
        <v/>
      </c>
      <c r="L25" s="86">
        <f>100*E35/E35</f>
        <v/>
      </c>
      <c r="M25" s="86">
        <f>100*E38/E38</f>
        <v/>
      </c>
      <c r="N25" s="115">
        <f>LN(K25)</f>
        <v/>
      </c>
      <c r="O25" s="115">
        <f>LN(L25)</f>
        <v/>
      </c>
      <c r="P25" s="86">
        <f>100*AVERAGE(E34:E35)/AVERAGE(E34:E35)</f>
        <v/>
      </c>
      <c r="Q25" s="115">
        <f>LN(P25)</f>
        <v/>
      </c>
      <c r="R25" s="115">
        <f>LN(P25)</f>
        <v/>
      </c>
    </row>
    <row r="26">
      <c r="A26" s="116">
        <f>CONCATENATE("Stability of ",A25," in ",REPLACE(CELL("filename",A27),1,FIND("]",CELL("filename")),A27))</f>
        <v/>
      </c>
      <c r="B26" s="110" t="inlineStr">
        <is>
          <t>MS11-20231215-Group 2-HLM-60min-1</t>
        </is>
      </c>
      <c r="C26" s="111" t="n">
        <v>57200</v>
      </c>
      <c r="D26" s="111" t="n">
        <v>118000</v>
      </c>
      <c r="E26" s="112" t="n">
        <v>0.483</v>
      </c>
      <c r="F26" s="112" t="n">
        <v>0.79</v>
      </c>
      <c r="G26" s="204" t="inlineStr">
        <is>
          <t>Clint-2</t>
        </is>
      </c>
      <c r="I26" s="113">
        <f>IF(L26=0,"NV",-O36*2000)</f>
        <v/>
      </c>
      <c r="J26" s="114" t="n">
        <v>5</v>
      </c>
      <c r="K26" s="209">
        <f>100*E32/E34</f>
        <v/>
      </c>
      <c r="L26" s="209">
        <f>100*E33/E35</f>
        <v/>
      </c>
      <c r="M26" s="209" t="n"/>
      <c r="N26" s="115">
        <f>IF(AND(K26=0,L26=0),LN(10),LN(K26))</f>
        <v/>
      </c>
      <c r="O26" s="115">
        <f>IF(AND(K26=0,L26=0),LN(10),LN(L26))</f>
        <v/>
      </c>
      <c r="P26" s="209">
        <f>AVERAGE(K26:L26)</f>
        <v/>
      </c>
      <c r="Q26" s="115">
        <f>IF(P26=0,LN(10),LN(P26))</f>
        <v/>
      </c>
      <c r="R26" s="115">
        <f>IF(P26=0,LN(10),LN(P26))</f>
        <v/>
      </c>
    </row>
    <row r="27" ht="17" customHeight="1">
      <c r="B27" s="110" t="inlineStr">
        <is>
          <t>MS11-20231215-Group 2-HLM-60min-2</t>
        </is>
      </c>
      <c r="C27" s="111" t="n">
        <v>57000</v>
      </c>
      <c r="D27" s="111" t="n">
        <v>125000</v>
      </c>
      <c r="E27" s="112" t="n">
        <v>0.456</v>
      </c>
      <c r="F27" s="112" t="n">
        <v>0.79</v>
      </c>
      <c r="G27" s="206" t="inlineStr">
        <is>
          <t>Mean of t1/2 (min)</t>
        </is>
      </c>
      <c r="I27" s="117">
        <f>IF(AND(I28="NV",I29="NV"),"NV",AVERAGE(I28:I29))</f>
        <v/>
      </c>
      <c r="J27" s="114" t="n">
        <v>15</v>
      </c>
      <c r="K27" s="209">
        <f>100*E30/E34</f>
        <v/>
      </c>
      <c r="L27" s="209">
        <f>100*E31/E35</f>
        <v/>
      </c>
      <c r="M27" s="209" t="n"/>
      <c r="N27" s="115">
        <f>IF(N26=LN(10),"",IF(P27&lt;10,"",LN(K27)))</f>
        <v/>
      </c>
      <c r="O27" s="115">
        <f>IF(O26=LN(10),"",IF(P27&lt;10,"",LN(L27)))</f>
        <v/>
      </c>
      <c r="P27" s="209">
        <f>AVERAGE(K27:L27)</f>
        <v/>
      </c>
      <c r="Q27" s="115">
        <f>IF(Q26=LN(10),"",IF(P27&gt;=10,LN(P27),""))</f>
        <v/>
      </c>
      <c r="R27" s="115">
        <f>IF(R26=LN(10),NA(),IF(P27&gt;=10,LN(P27),NA()))</f>
        <v/>
      </c>
    </row>
    <row r="28" ht="17" customHeight="1">
      <c r="B28" s="110" t="inlineStr">
        <is>
          <t>MS11-20231215-Group 2-HLM-30min-1</t>
        </is>
      </c>
      <c r="C28" s="111" t="n">
        <v>79900</v>
      </c>
      <c r="D28" s="111" t="n">
        <v>109000</v>
      </c>
      <c r="E28" s="112" t="n">
        <v>0.734</v>
      </c>
      <c r="F28" s="112" t="n">
        <v>0.792</v>
      </c>
      <c r="G28" s="204" t="inlineStr">
        <is>
          <t>t1/2-1</t>
        </is>
      </c>
      <c r="I28" s="113">
        <f>IF(I25="NV","NV",-0.693/M36)</f>
        <v/>
      </c>
      <c r="J28" s="114" t="n">
        <v>30</v>
      </c>
      <c r="K28" s="209">
        <f>100*E28/E34</f>
        <v/>
      </c>
      <c r="L28" s="209">
        <f>100*E29/E35</f>
        <v/>
      </c>
      <c r="M28" s="209" t="n"/>
      <c r="N28" s="115">
        <f>IF(N26=LN(10),"",IF(P28&lt;10,"",LN(K28)))</f>
        <v/>
      </c>
      <c r="O28" s="115">
        <f>IF(O26=LN(10),"",IF(P28&lt;10,"",LN(L28)))</f>
        <v/>
      </c>
      <c r="P28" s="209">
        <f>AVERAGE(K28:L28)</f>
        <v/>
      </c>
      <c r="Q28" s="115">
        <f>IF(Q26=LN(10),"",IF(P28&gt;=10,LN(P28),""))</f>
        <v/>
      </c>
      <c r="R28" s="115">
        <f>IF(R26=LN(10),NA(),IF(P28&gt;=10,LN(P28),NA()))</f>
        <v/>
      </c>
    </row>
    <row r="29" ht="17" customHeight="1">
      <c r="B29" s="110" t="inlineStr">
        <is>
          <t>MS11-20231215-Group 2-HLM-30min-2</t>
        </is>
      </c>
      <c r="C29" s="111" t="n">
        <v>84000</v>
      </c>
      <c r="D29" s="111" t="n">
        <v>121000</v>
      </c>
      <c r="E29" s="112" t="n">
        <v>0.695</v>
      </c>
      <c r="F29" s="112" t="n">
        <v>0.783</v>
      </c>
      <c r="G29" s="204" t="inlineStr">
        <is>
          <t>t1/2-2</t>
        </is>
      </c>
      <c r="I29" s="113">
        <f>IF(I26="NV","NV",-0.693/O36)</f>
        <v/>
      </c>
      <c r="J29" s="118" t="n">
        <v>60</v>
      </c>
      <c r="K29" s="88">
        <f>100*E26/E34</f>
        <v/>
      </c>
      <c r="L29" s="88">
        <f>100*E27/E35</f>
        <v/>
      </c>
      <c r="M29" s="88">
        <f>100*E37/E38</f>
        <v/>
      </c>
      <c r="N29" s="119">
        <f>IF(N26=LN(10),"",IF(P29&lt;10,"",LN(K29)))</f>
        <v/>
      </c>
      <c r="O29" s="119">
        <f>IF(O26=LN(10),"",IF(P29&lt;10,"",LN(L29)))</f>
        <v/>
      </c>
      <c r="P29" s="88">
        <f>AVERAGE(K29:L29)</f>
        <v/>
      </c>
      <c r="Q29" s="119">
        <f>IF(Q26=LN(10),"",IF(P29&gt;=10,LN(P29),""))</f>
        <v/>
      </c>
      <c r="R29" s="119">
        <f>IF(R25=LN(10),NA(),IF(P29&gt;=10,LN(P29),NA()))</f>
        <v/>
      </c>
    </row>
    <row r="30">
      <c r="B30" s="110" t="inlineStr">
        <is>
          <t>MS11-20231215-Group 2-HLM-15min-1</t>
        </is>
      </c>
      <c r="C30" s="111" t="n">
        <v>102000</v>
      </c>
      <c r="D30" s="111" t="n">
        <v>119000</v>
      </c>
      <c r="E30" s="112" t="n">
        <v>0.854</v>
      </c>
      <c r="F30" s="112" t="n">
        <v>0.783</v>
      </c>
      <c r="G30" s="207" t="inlineStr">
        <is>
          <t>P&lt;0.05 (Mean of %Remaining)</t>
        </is>
      </c>
      <c r="I30" s="120">
        <f>IF(K35=2,"Yes",IF(ABS(K38)&gt;K34,"Yes","No"))</f>
        <v/>
      </c>
      <c r="K30" s="86" t="n"/>
      <c r="L30" s="86" t="n"/>
      <c r="M30" s="86" t="n"/>
      <c r="N30" s="115" t="n"/>
      <c r="O30" s="115" t="n"/>
      <c r="P30" s="86" t="n"/>
      <c r="Q30" s="115" t="n"/>
      <c r="R30" s="115" t="n"/>
    </row>
    <row r="31">
      <c r="B31" s="110" t="inlineStr">
        <is>
          <t>MS11-20231215-Group 2-HLM-15min-2</t>
        </is>
      </c>
      <c r="C31" s="111" t="n">
        <v>97500</v>
      </c>
      <c r="D31" s="111" t="n">
        <v>121000</v>
      </c>
      <c r="E31" s="112" t="n">
        <v>0.804</v>
      </c>
      <c r="F31" s="112" t="n">
        <v>0.784</v>
      </c>
      <c r="G31" s="208" t="inlineStr">
        <is>
          <t>P&lt;0.05-1</t>
        </is>
      </c>
      <c r="I31" s="121">
        <f>IF(M35=2,"Yes",IF(ABS(M38)&gt;M34,"Yes","No"))</f>
        <v/>
      </c>
      <c r="J31" s="122" t="n"/>
      <c r="K31" s="122" t="n"/>
      <c r="L31" s="122" t="n"/>
      <c r="M31" s="122" t="n"/>
      <c r="N31" s="123" t="n"/>
      <c r="O31" s="123" t="n"/>
      <c r="P31" s="122" t="n"/>
      <c r="Q31" s="123" t="n"/>
      <c r="R31" s="123" t="n"/>
    </row>
    <row r="32">
      <c r="B32" s="110" t="inlineStr">
        <is>
          <t>MS11-20231215-Group 2-HLM-5min-1</t>
        </is>
      </c>
      <c r="C32" s="111" t="n">
        <v>114000</v>
      </c>
      <c r="D32" s="111" t="n">
        <v>119000</v>
      </c>
      <c r="E32" s="112" t="n">
        <v>0.956</v>
      </c>
      <c r="F32" s="112" t="n">
        <v>0.781</v>
      </c>
      <c r="G32" s="208" t="inlineStr">
        <is>
          <t>P&lt;0.05-2</t>
        </is>
      </c>
      <c r="I32" s="121">
        <f>IF(O35=2,"Yes",IF(ABS(O38)&gt;O34,"Yes","No"))</f>
        <v/>
      </c>
      <c r="J32" s="124" t="inlineStr">
        <is>
          <t>r</t>
        </is>
      </c>
      <c r="K32" s="125">
        <f>CORREL(Q25:Q29,J25:J29)</f>
        <v/>
      </c>
      <c r="L32" s="124" t="inlineStr">
        <is>
          <t>r</t>
        </is>
      </c>
      <c r="M32" s="125">
        <f>CORREL(N25:N29,J25:J29)</f>
        <v/>
      </c>
      <c r="N32" s="126" t="inlineStr">
        <is>
          <t>r</t>
        </is>
      </c>
      <c r="O32" s="127">
        <f>CORREL(O25:O29,J25:J29)</f>
        <v/>
      </c>
      <c r="P32" s="128" t="n"/>
      <c r="Q32" s="129" t="n"/>
      <c r="R32" s="129" t="n"/>
    </row>
    <row r="33" ht="17" customHeight="1">
      <c r="B33" s="110" t="inlineStr">
        <is>
          <t>MS11-20231215-Group 2-HLM-5min-2</t>
        </is>
      </c>
      <c r="C33" s="111" t="n">
        <v>116000</v>
      </c>
      <c r="D33" s="111" t="n">
        <v>126000</v>
      </c>
      <c r="E33" s="112" t="n">
        <v>0.92</v>
      </c>
      <c r="F33" s="112" t="n">
        <v>0.779</v>
      </c>
      <c r="G33" s="207" t="inlineStr">
        <is>
          <t>R2 (Mean of %Remaining)</t>
        </is>
      </c>
      <c r="I33" s="130">
        <f>RSQ(J25:J29,Q25:Q29)</f>
        <v/>
      </c>
      <c r="J33" s="124" t="inlineStr">
        <is>
          <t>t-value</t>
        </is>
      </c>
      <c r="K33" s="131">
        <f>K32/((1-K32^2)/(K35-2))^0.5</f>
        <v/>
      </c>
      <c r="L33" s="124" t="inlineStr">
        <is>
          <t>t-value</t>
        </is>
      </c>
      <c r="M33" s="131">
        <f>M32/((1-M32^2)/(M35-2))^0.5</f>
        <v/>
      </c>
      <c r="N33" s="126" t="inlineStr">
        <is>
          <t>t-value</t>
        </is>
      </c>
      <c r="O33" s="132">
        <f>O32/((1-O32^2)/(O35-2))^0.5</f>
        <v/>
      </c>
      <c r="P33" s="128" t="n"/>
      <c r="Q33" s="129" t="n"/>
      <c r="R33" s="129" t="n"/>
    </row>
    <row r="34" ht="17" customHeight="1">
      <c r="B34" s="110" t="inlineStr">
        <is>
          <t>MS11-20231215-Group 2-HLM-0.5min-1</t>
        </is>
      </c>
      <c r="C34" s="111" t="n">
        <v>136000</v>
      </c>
      <c r="D34" s="111" t="n">
        <v>120000</v>
      </c>
      <c r="E34" s="112" t="n">
        <v>1.13</v>
      </c>
      <c r="F34" s="112" t="n">
        <v>0.778</v>
      </c>
      <c r="G34" s="208" t="inlineStr">
        <is>
          <t>R2-1</t>
        </is>
      </c>
      <c r="I34" s="133">
        <f>RSQ(J25:J29,N25:N29)</f>
        <v/>
      </c>
      <c r="J34" s="124" t="inlineStr">
        <is>
          <t>t0.05 criteria</t>
        </is>
      </c>
      <c r="K34" s="134">
        <f>TINV(0.05,(K35-2))</f>
        <v/>
      </c>
      <c r="L34" s="124" t="inlineStr">
        <is>
          <t>t0.05 criteria</t>
        </is>
      </c>
      <c r="M34" s="134">
        <f>TINV(0.05,(M35-2))</f>
        <v/>
      </c>
      <c r="N34" s="126" t="inlineStr">
        <is>
          <t>t0.05 criteria</t>
        </is>
      </c>
      <c r="O34" s="135">
        <f>TINV(0.05,(O35-2))</f>
        <v/>
      </c>
      <c r="P34" s="125" t="n"/>
      <c r="Q34" s="127" t="n"/>
      <c r="R34" s="127" t="n"/>
    </row>
    <row r="35" ht="17" customHeight="1">
      <c r="B35" s="110" t="inlineStr">
        <is>
          <t>MS11-20231215-Group 2-HLM-0.5min-2</t>
        </is>
      </c>
      <c r="C35" s="111" t="n">
        <v>125000</v>
      </c>
      <c r="D35" s="111" t="n">
        <v>128000</v>
      </c>
      <c r="E35" s="112" t="n">
        <v>0.975</v>
      </c>
      <c r="F35" s="112" t="n">
        <v>0.783</v>
      </c>
      <c r="G35" s="208" t="inlineStr">
        <is>
          <t>R2-2</t>
        </is>
      </c>
      <c r="I35" s="133">
        <f>RSQ(J25:J29,O25:O29)</f>
        <v/>
      </c>
      <c r="J35" s="124" t="inlineStr">
        <is>
          <t>number of data</t>
        </is>
      </c>
      <c r="K35" s="136">
        <f>COUNT(Q25:Q29)</f>
        <v/>
      </c>
      <c r="L35" s="124" t="inlineStr">
        <is>
          <t>number of data</t>
        </is>
      </c>
      <c r="M35" s="136">
        <f>COUNT(N25:N29)</f>
        <v/>
      </c>
      <c r="N35" s="126" t="inlineStr">
        <is>
          <t>number of data</t>
        </is>
      </c>
      <c r="O35" s="137">
        <f>COUNT(O25:O29)</f>
        <v/>
      </c>
      <c r="P35" s="131" t="n"/>
      <c r="Q35" s="132" t="n"/>
      <c r="R35" s="132" t="n"/>
    </row>
    <row r="36">
      <c r="B36" s="110" t="inlineStr">
        <is>
          <t>STD-HLM</t>
        </is>
      </c>
      <c r="C36" s="111" t="n">
        <v>157000</v>
      </c>
      <c r="D36" s="111" t="n">
        <v>123000</v>
      </c>
      <c r="E36" s="112" t="n">
        <v>1.28</v>
      </c>
      <c r="F36" s="112" t="n">
        <v>0.793</v>
      </c>
      <c r="G36" s="207" t="inlineStr">
        <is>
          <t>IS CV%</t>
        </is>
      </c>
      <c r="I36" s="103">
        <f>100*STDEV(D26:D35)/AVERAGE(D26:D35)</f>
        <v/>
      </c>
      <c r="J36" s="124" t="inlineStr">
        <is>
          <t>Slope</t>
        </is>
      </c>
      <c r="K36" s="125">
        <f>SLOPE(Q25:Q29,J25:J29)</f>
        <v/>
      </c>
      <c r="L36" s="124" t="inlineStr">
        <is>
          <t>Slope-1</t>
        </is>
      </c>
      <c r="M36" s="125">
        <f>SLOPE(N25:N29,J25:J29)</f>
        <v/>
      </c>
      <c r="N36" s="126" t="inlineStr">
        <is>
          <t>Slope-2</t>
        </is>
      </c>
      <c r="O36" s="127">
        <f>SLOPE(O25:O29,J25:J29)</f>
        <v/>
      </c>
      <c r="P36" s="134" t="n"/>
      <c r="Q36" s="135" t="n"/>
      <c r="R36" s="135" t="n"/>
    </row>
    <row r="37">
      <c r="B37" s="138" t="inlineStr">
        <is>
          <t>MS11-20231215-Group 2-HLM-60min-N</t>
        </is>
      </c>
      <c r="C37" s="139" t="n">
        <v>124000</v>
      </c>
      <c r="D37" s="139" t="n">
        <v>115000</v>
      </c>
      <c r="E37" s="140" t="n">
        <v>1.08</v>
      </c>
      <c r="F37" s="112" t="n">
        <v>0.778</v>
      </c>
      <c r="G37" s="207" t="inlineStr">
        <is>
          <t>Slope</t>
        </is>
      </c>
      <c r="I37" s="141">
        <f>K36</f>
        <v/>
      </c>
      <c r="J37" s="124" t="inlineStr">
        <is>
          <t>SE of slope</t>
        </is>
      </c>
      <c r="K37" s="134">
        <f>IF(ISERROR(STEYX(Q25:Q29,J25:J29)/SQRT(DEVSQ(J25:J29))),"",STEYX(Q25:Q29,J25:J29)/SQRT(DEVSQ(J25:J29)))</f>
        <v/>
      </c>
      <c r="L37" s="124" t="inlineStr">
        <is>
          <t>SE of slope</t>
        </is>
      </c>
      <c r="M37" s="134">
        <f>IF(ISERROR(STEYX(N25:N29,J25:J29)/SQRT(DEVSQ(J25:J29))),"",STEYX(N25:N29,J25:J29)/SQRT(DEVSQ(J25:J29)))</f>
        <v/>
      </c>
      <c r="N37" s="126" t="inlineStr">
        <is>
          <t>SE of slope</t>
        </is>
      </c>
      <c r="O37" s="135">
        <f>IF(ISERROR(STEYX(O25:O29,J25:J29)/SQRT(DEVSQ(J25:J29))),"",STEYX(O25:O29,J25:J29)/SQRT(DEVSQ(J25:J29)))</f>
        <v/>
      </c>
      <c r="P37" s="136" t="n"/>
      <c r="Q37" s="137" t="n"/>
      <c r="R37" s="137" t="n"/>
    </row>
    <row r="38">
      <c r="B38" s="138" t="inlineStr">
        <is>
          <t>MS11-20231215-Group 2-HLM-0.5min-N</t>
        </is>
      </c>
      <c r="C38" s="139" t="n">
        <v>127000</v>
      </c>
      <c r="D38" s="139" t="n">
        <v>123000</v>
      </c>
      <c r="E38" s="140" t="n">
        <v>1.03</v>
      </c>
      <c r="F38" s="112" t="n">
        <v>0.78</v>
      </c>
      <c r="G38" s="209" t="n"/>
      <c r="J38" s="124" t="inlineStr">
        <is>
          <t>Slope/SE</t>
        </is>
      </c>
      <c r="K38" s="131">
        <f>IF(ISERROR(K36/K37),"",K36/K37)</f>
        <v/>
      </c>
      <c r="L38" s="124" t="inlineStr">
        <is>
          <t>Slope/SE</t>
        </is>
      </c>
      <c r="M38" s="131">
        <f>IF(ISERROR(M36/M37),"",M36/M37)</f>
        <v/>
      </c>
      <c r="N38" s="126" t="inlineStr">
        <is>
          <t>Slope/SE</t>
        </is>
      </c>
      <c r="O38" s="132">
        <f>IF(ISERROR(O36/O37),"",O36/O37)</f>
        <v/>
      </c>
      <c r="P38" s="125" t="n"/>
      <c r="Q38" s="127" t="n"/>
      <c r="R38" s="127" t="n"/>
    </row>
    <row r="39">
      <c r="C39" s="142" t="n"/>
      <c r="D39" s="142" t="n"/>
      <c r="E39" s="143" t="n"/>
      <c r="F39" s="143" t="n"/>
      <c r="G39" s="209" t="n"/>
      <c r="J39" s="144" t="n"/>
      <c r="K39" s="144" t="n"/>
      <c r="L39" s="144" t="n"/>
      <c r="M39" s="144" t="n"/>
      <c r="N39" s="145" t="n"/>
      <c r="O39" s="145" t="n"/>
      <c r="P39" s="144" t="n"/>
      <c r="Q39" s="145" t="n"/>
      <c r="R39" s="145" t="n"/>
    </row>
    <row r="40">
      <c r="C40" s="142" t="n"/>
      <c r="D40" s="142" t="n"/>
      <c r="E40" s="143" t="n"/>
      <c r="F40" s="143" t="n"/>
      <c r="G40" s="209" t="n"/>
      <c r="J40" s="146" t="n"/>
      <c r="K40" s="146" t="n"/>
      <c r="L40" s="146" t="n"/>
      <c r="M40" s="146" t="n"/>
      <c r="N40" s="147" t="n"/>
      <c r="O40" s="147" t="n"/>
      <c r="P40" s="144" t="n"/>
      <c r="Q40" s="145" t="n"/>
      <c r="R40" s="145" t="n"/>
    </row>
    <row r="41">
      <c r="C41" s="142" t="n"/>
      <c r="D41" s="142" t="n"/>
      <c r="E41" s="143" t="n"/>
      <c r="F41" s="143" t="n"/>
      <c r="G41" s="209" t="n"/>
      <c r="J41" s="144" t="n"/>
      <c r="K41" s="144" t="n"/>
      <c r="L41" s="144" t="n"/>
      <c r="M41" s="144" t="n"/>
      <c r="N41" s="145" t="n"/>
      <c r="O41" s="145" t="n">
        <v>-0.09170065713797154</v>
      </c>
      <c r="P41" s="144" t="n"/>
      <c r="Q41" s="145" t="n"/>
      <c r="R41" s="145" t="n"/>
    </row>
    <row r="42">
      <c r="C42" s="142" t="n"/>
      <c r="D42" s="142" t="n"/>
      <c r="E42" s="143" t="n"/>
      <c r="F42" s="143" t="n"/>
      <c r="G42" s="209" t="n"/>
      <c r="J42" s="144" t="n"/>
      <c r="K42" s="144" t="n"/>
      <c r="L42" s="144" t="n"/>
      <c r="M42" s="144" t="n"/>
      <c r="N42" s="145" t="n"/>
      <c r="O42" s="145" t="n"/>
      <c r="P42" s="144" t="n"/>
      <c r="Q42" s="145" t="n"/>
      <c r="R42" s="145" t="n"/>
    </row>
    <row r="43">
      <c r="C43" s="142" t="n"/>
      <c r="D43" s="142" t="n"/>
      <c r="E43" s="143" t="n"/>
      <c r="F43" s="143" t="n"/>
      <c r="G43" s="209" t="n"/>
      <c r="J43" s="144" t="n"/>
      <c r="K43" s="144" t="n"/>
      <c r="L43" s="144" t="n"/>
      <c r="M43" s="144" t="n"/>
      <c r="N43" s="145" t="n"/>
      <c r="O43" s="145" t="n"/>
      <c r="P43" s="144" t="n"/>
      <c r="Q43" s="145" t="n"/>
      <c r="R43" s="145" t="n"/>
    </row>
    <row r="44" customFormat="1" s="153">
      <c r="A44" s="148" t="n"/>
      <c r="B44" s="148" t="n"/>
      <c r="C44" s="149" t="n"/>
      <c r="D44" s="149" t="n"/>
      <c r="E44" s="150" t="n"/>
      <c r="F44" s="150" t="n"/>
      <c r="G44" s="118" t="n"/>
      <c r="H44" s="118" t="n"/>
      <c r="I44" s="118" t="n"/>
      <c r="J44" s="118" t="n"/>
      <c r="K44" s="118" t="n"/>
      <c r="L44" s="118" t="n"/>
      <c r="M44" s="118" t="n"/>
      <c r="N44" s="151" t="n"/>
      <c r="O44" s="151" t="n"/>
      <c r="P44" s="152" t="n"/>
      <c r="Q44" s="151" t="n"/>
      <c r="R44" s="151" t="n"/>
    </row>
  </sheetData>
  <mergeCells count="40">
    <mergeCell ref="G21:H21"/>
    <mergeCell ref="G43:H43"/>
    <mergeCell ref="G12:H12"/>
    <mergeCell ref="G2:H2"/>
    <mergeCell ref="G42:H42"/>
    <mergeCell ref="G11:H11"/>
    <mergeCell ref="G27:H27"/>
    <mergeCell ref="G36:H36"/>
    <mergeCell ref="G8:H8"/>
    <mergeCell ref="G17:H17"/>
    <mergeCell ref="G39:H39"/>
    <mergeCell ref="G38:H38"/>
    <mergeCell ref="G7:H7"/>
    <mergeCell ref="G10:H10"/>
    <mergeCell ref="G19:H19"/>
    <mergeCell ref="G37:H37"/>
    <mergeCell ref="G28:H28"/>
    <mergeCell ref="G6:H6"/>
    <mergeCell ref="G13:H13"/>
    <mergeCell ref="G18:H18"/>
    <mergeCell ref="G3:H3"/>
    <mergeCell ref="G34:H34"/>
    <mergeCell ref="G30:H30"/>
    <mergeCell ref="G24:H24"/>
    <mergeCell ref="G15:H15"/>
    <mergeCell ref="G33:H33"/>
    <mergeCell ref="G5:H5"/>
    <mergeCell ref="G14:H14"/>
    <mergeCell ref="G26:H26"/>
    <mergeCell ref="G35:H35"/>
    <mergeCell ref="G29:H29"/>
    <mergeCell ref="G4:H4"/>
    <mergeCell ref="G20:H20"/>
    <mergeCell ref="G16:H16"/>
    <mergeCell ref="G32:H32"/>
    <mergeCell ref="G25:H25"/>
    <mergeCell ref="G41:H41"/>
    <mergeCell ref="G31:H31"/>
    <mergeCell ref="G40:H40"/>
    <mergeCell ref="G9:H9"/>
  </mergeCells>
  <conditionalFormatting sqref="I2:I4">
    <cfRule type="cellIs" priority="10" operator="greaterThan" dxfId="8">
      <formula>1023.37</formula>
    </cfRule>
    <cfRule type="cellIs" priority="11" operator="lessThan" dxfId="7">
      <formula>7.5</formula>
    </cfRule>
  </conditionalFormatting>
  <conditionalFormatting sqref="I11:I13">
    <cfRule type="cellIs" priority="13" operator="lessThan" dxfId="2">
      <formula>0.9</formula>
    </cfRule>
  </conditionalFormatting>
  <conditionalFormatting sqref="I14">
    <cfRule type="cellIs" priority="12" operator="greaterThan" dxfId="2">
      <formula>15</formula>
    </cfRule>
  </conditionalFormatting>
  <conditionalFormatting sqref="I24:I26">
    <cfRule type="cellIs" priority="3" operator="greaterThan" dxfId="8">
      <formula>1023.37</formula>
    </cfRule>
    <cfRule type="cellIs" priority="4" operator="lessThan" dxfId="7">
      <formula>7.5</formula>
    </cfRule>
  </conditionalFormatting>
  <conditionalFormatting sqref="I33:I35">
    <cfRule type="cellIs" priority="6" operator="lessThan" dxfId="2">
      <formula>0.9</formula>
    </cfRule>
  </conditionalFormatting>
  <conditionalFormatting sqref="I36">
    <cfRule type="cellIs" priority="5" operator="greaterThan" dxfId="2">
      <formula>15</formula>
    </cfRule>
  </conditionalFormatting>
  <conditionalFormatting sqref="K7:L7">
    <cfRule type="cellIs" priority="8" operator="greaterThan" dxfId="2">
      <formula>80</formula>
    </cfRule>
  </conditionalFormatting>
  <conditionalFormatting sqref="K29:L29">
    <cfRule type="cellIs" priority="1" operator="greaterThan" dxfId="2">
      <formula>80</formula>
    </cfRule>
  </conditionalFormatting>
  <conditionalFormatting sqref="M3 M7">
    <cfRule type="cellIs" priority="9" operator="notBetween" dxfId="0">
      <formula>80</formula>
      <formula>120</formula>
    </cfRule>
  </conditionalFormatting>
  <conditionalFormatting sqref="M25 M29">
    <cfRule type="cellIs" priority="2" operator="notBetween" dxfId="0">
      <formula>80</formula>
      <formula>120</formula>
    </cfRule>
  </conditionalFormatting>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44"/>
  <sheetViews>
    <sheetView zoomScale="85" zoomScaleNormal="85" workbookViewId="0">
      <selection activeCell="A1" sqref="A1"/>
    </sheetView>
  </sheetViews>
  <sheetFormatPr baseColWidth="10" defaultColWidth="9" defaultRowHeight="15"/>
  <cols>
    <col width="20" customWidth="1" style="100" min="1" max="1"/>
    <col width="37.1640625" bestFit="1" customWidth="1" style="100" min="2" max="2"/>
    <col width="13.33203125" customWidth="1" style="100" min="3" max="3"/>
    <col width="10.1640625" customWidth="1" style="100" min="4" max="4"/>
    <col width="9.6640625" customWidth="1" style="109" min="5" max="5"/>
    <col width="16.1640625" customWidth="1" style="109" min="6" max="6"/>
    <col width="11.6640625" customWidth="1" style="114" min="7" max="8"/>
    <col width="8" customWidth="1" style="114" min="9" max="9"/>
    <col width="13.6640625" customWidth="1" style="114" min="10" max="10"/>
    <col width="12.83203125" customWidth="1" style="114" min="11" max="11"/>
    <col width="13.6640625" customWidth="1" style="114" min="12" max="12"/>
    <col width="13.33203125" bestFit="1" customWidth="1" style="114" min="13" max="13"/>
    <col width="13.33203125" customWidth="1" style="100" min="14" max="15"/>
    <col width="11.1640625" bestFit="1" customWidth="1" style="114" min="16" max="16"/>
    <col width="11.6640625" bestFit="1" customWidth="1" style="100" min="17" max="18"/>
    <col width="9" customWidth="1" style="109" min="19" max="16384"/>
  </cols>
  <sheetData>
    <row r="1"/>
    <row r="2" ht="48" customHeight="1">
      <c r="A2" s="100" t="inlineStr">
        <is>
          <t>Cpd01</t>
        </is>
      </c>
      <c r="B2" s="101" t="inlineStr">
        <is>
          <t>Sample Name</t>
        </is>
      </c>
      <c r="C2" s="101" t="inlineStr">
        <is>
          <t>Analyte Peak Area (counts)</t>
        </is>
      </c>
      <c r="D2" s="101" t="inlineStr">
        <is>
          <t>IS Peak Area (counts)</t>
        </is>
      </c>
      <c r="E2" s="102" t="inlineStr">
        <is>
          <t>Area Ratio</t>
        </is>
      </c>
      <c r="F2" s="101" t="inlineStr">
        <is>
          <t>Analyte Retention Time (min)</t>
        </is>
      </c>
      <c r="G2" s="205" t="inlineStr">
        <is>
          <t>Mean of Clint
 (μL/min/mg protein)</t>
        </is>
      </c>
      <c r="I2" s="103">
        <f>IF(AND(I3="NV",I4="NV"),"NV",AVERAGE(I3:I4))</f>
        <v/>
      </c>
      <c r="J2" s="104" t="inlineStr">
        <is>
          <t>Time (min)</t>
        </is>
      </c>
      <c r="K2" s="105" t="inlineStr">
        <is>
          <t>%Remaining-1</t>
        </is>
      </c>
      <c r="L2" s="105" t="inlineStr">
        <is>
          <t>%Remaining-2</t>
        </is>
      </c>
      <c r="M2" s="105" t="inlineStr">
        <is>
          <t>%Remaining-N</t>
        </is>
      </c>
      <c r="N2" s="106" t="inlineStr">
        <is>
          <t>LN of %Remaining-1</t>
        </is>
      </c>
      <c r="O2" s="106" t="inlineStr">
        <is>
          <t>LN of %Remaining-2</t>
        </is>
      </c>
      <c r="P2" s="107" t="inlineStr">
        <is>
          <t>Mean of %Remaining</t>
        </is>
      </c>
      <c r="Q2" s="108" t="inlineStr">
        <is>
          <t xml:space="preserve"> LN (Mean of %Remaining)</t>
        </is>
      </c>
      <c r="R2" s="108" t="inlineStr">
        <is>
          <t xml:space="preserve"> LN (Mean of %Remaining)</t>
        </is>
      </c>
    </row>
    <row r="3">
      <c r="A3" s="100" t="inlineStr">
        <is>
          <t>Verapamil</t>
        </is>
      </c>
      <c r="B3" s="110" t="inlineStr">
        <is>
          <t>Blank-MMLM</t>
        </is>
      </c>
      <c r="C3" s="111" t="n">
        <v>0</v>
      </c>
      <c r="D3" s="111" t="n">
        <v>88500</v>
      </c>
      <c r="E3" s="112" t="n">
        <v>0</v>
      </c>
      <c r="F3" s="112" t="n">
        <v>0</v>
      </c>
      <c r="G3" s="204" t="inlineStr">
        <is>
          <t>Clint-1</t>
        </is>
      </c>
      <c r="I3" s="113">
        <f>IF(K4=0,"NV",-M14*2000)</f>
        <v/>
      </c>
      <c r="J3" s="114" t="n">
        <v>0.5</v>
      </c>
      <c r="K3" s="86">
        <f>100*E12/E12</f>
        <v/>
      </c>
      <c r="L3" s="86">
        <f>100*E13/E13</f>
        <v/>
      </c>
      <c r="M3" s="86">
        <f>100*E16/E16</f>
        <v/>
      </c>
      <c r="N3" s="115">
        <f>LN(K3)</f>
        <v/>
      </c>
      <c r="O3" s="115">
        <f>LN(L3)</f>
        <v/>
      </c>
      <c r="P3" s="86">
        <f>100*AVERAGE(E12:E13)/AVERAGE(E12:E13)</f>
        <v/>
      </c>
      <c r="Q3" s="115">
        <f>LN(P3)</f>
        <v/>
      </c>
      <c r="R3" s="115">
        <f>LN(P3)</f>
        <v/>
      </c>
    </row>
    <row r="4">
      <c r="A4" s="116">
        <f>CONCATENATE("Stability of ",A3," in ",REPLACE(CELL("filename",A5),1,FIND("]",CELL("filename")),A5))</f>
        <v/>
      </c>
      <c r="B4" s="110" t="inlineStr">
        <is>
          <t>MS11-20231215-Group 1-MMLM-60min-1</t>
        </is>
      </c>
      <c r="C4" s="111" t="n">
        <v>0</v>
      </c>
      <c r="D4" s="111" t="n">
        <v>86100</v>
      </c>
      <c r="E4" s="112" t="n">
        <v>0</v>
      </c>
      <c r="F4" s="112" t="n">
        <v>0</v>
      </c>
      <c r="G4" s="204" t="inlineStr">
        <is>
          <t>Clint-2</t>
        </is>
      </c>
      <c r="I4" s="113">
        <f>IF(L4=0,"NV",-O14*2000)</f>
        <v/>
      </c>
      <c r="J4" s="114" t="n">
        <v>5</v>
      </c>
      <c r="K4" s="209">
        <f>100*E10/E12</f>
        <v/>
      </c>
      <c r="L4" s="209">
        <f>100*E11/E13</f>
        <v/>
      </c>
      <c r="M4" s="209" t="n"/>
      <c r="N4" s="115">
        <f>IF(AND(K4=0,L4=0),LN(10),LN(K4))</f>
        <v/>
      </c>
      <c r="O4" s="115">
        <f>IF(AND(K4=0,L4=0),LN(10),LN(L4))</f>
        <v/>
      </c>
      <c r="P4" s="209">
        <f>AVERAGE(K4:L4)</f>
        <v/>
      </c>
      <c r="Q4" s="115">
        <f>IF(P4=0,LN(10),LN(P4))</f>
        <v/>
      </c>
      <c r="R4" s="115">
        <f>IF(P4=0,LN(10),LN(P4))</f>
        <v/>
      </c>
    </row>
    <row r="5" ht="17" customHeight="1">
      <c r="B5" s="110" t="inlineStr">
        <is>
          <t>MS11-20231215-Group 1-MMLM-60min-2</t>
        </is>
      </c>
      <c r="C5" s="111" t="n">
        <v>0</v>
      </c>
      <c r="D5" s="111" t="n">
        <v>85900</v>
      </c>
      <c r="E5" s="112" t="n">
        <v>0</v>
      </c>
      <c r="F5" s="112" t="n">
        <v>0</v>
      </c>
      <c r="G5" s="206" t="inlineStr">
        <is>
          <t>Mean of t1/2 (min)</t>
        </is>
      </c>
      <c r="I5" s="117">
        <f>IF(AND(I6="NV",I7="NV"),"NV",AVERAGE(I6:I7))</f>
        <v/>
      </c>
      <c r="J5" s="114" t="n">
        <v>15</v>
      </c>
      <c r="K5" s="209">
        <f>100*E8/E12</f>
        <v/>
      </c>
      <c r="L5" s="209">
        <f>100*E9/E13</f>
        <v/>
      </c>
      <c r="M5" s="209" t="n"/>
      <c r="N5" s="115">
        <f>IF(N4=LN(10),"",IF(P5&lt;10,"",LN(K5)))</f>
        <v/>
      </c>
      <c r="O5" s="115">
        <f>IF(O4=LN(10),"",IF(P5&lt;10,"",LN(L5)))</f>
        <v/>
      </c>
      <c r="P5" s="209">
        <f>AVERAGE(K5:L5)</f>
        <v/>
      </c>
      <c r="Q5" s="115">
        <f>IF(Q4=LN(10),"",IF(P5&gt;=10,LN(P5),""))</f>
        <v/>
      </c>
      <c r="R5" s="115" t="n"/>
    </row>
    <row r="6" ht="17" customHeight="1">
      <c r="B6" s="110" t="inlineStr">
        <is>
          <t>MS11-20231215-Group 1-MMLM-30min-1</t>
        </is>
      </c>
      <c r="C6" s="111" t="n">
        <v>1280</v>
      </c>
      <c r="D6" s="111" t="n">
        <v>88300</v>
      </c>
      <c r="E6" s="112" t="n">
        <v>0.0146</v>
      </c>
      <c r="F6" s="112" t="n">
        <v>0.826</v>
      </c>
      <c r="G6" s="204" t="inlineStr">
        <is>
          <t>t1/2-1</t>
        </is>
      </c>
      <c r="I6" s="113">
        <f>IF(I3="NV","NV",-0.693/M14)</f>
        <v/>
      </c>
      <c r="J6" s="114" t="n">
        <v>30</v>
      </c>
      <c r="K6" s="209">
        <f>100*E6/E12</f>
        <v/>
      </c>
      <c r="L6" s="209">
        <f>100*E7/E13</f>
        <v/>
      </c>
      <c r="M6" s="209" t="n"/>
      <c r="N6" s="115">
        <f>IF(N4=LN(10),"",IF(P6&lt;10,"",LN(K6)))</f>
        <v/>
      </c>
      <c r="O6" s="115">
        <f>IF(O4=LN(10),"",IF(P6&lt;10,"",LN(L6)))</f>
        <v/>
      </c>
      <c r="P6" s="209">
        <f>AVERAGE(K6:L6)</f>
        <v/>
      </c>
      <c r="Q6" s="115">
        <f>IF(Q4=LN(10),"",IF(P6&gt;=10,LN(P6),""))</f>
        <v/>
      </c>
      <c r="R6" s="115" t="n"/>
    </row>
    <row r="7" ht="17" customHeight="1">
      <c r="B7" s="110" t="inlineStr">
        <is>
          <t>MS11-20231215-Group 1-MMLM-30min-2</t>
        </is>
      </c>
      <c r="C7" s="111" t="n">
        <v>1120</v>
      </c>
      <c r="D7" s="111" t="n">
        <v>90900</v>
      </c>
      <c r="E7" s="112" t="n">
        <v>0.0123</v>
      </c>
      <c r="F7" s="112" t="n">
        <v>0.827</v>
      </c>
      <c r="G7" s="204" t="inlineStr">
        <is>
          <t>t1/2-2</t>
        </is>
      </c>
      <c r="I7" s="113">
        <f>IF(I4="NV","NV",-0.693/O14)</f>
        <v/>
      </c>
      <c r="J7" s="118" t="n">
        <v>60</v>
      </c>
      <c r="K7" s="88">
        <f>100*E4/E12</f>
        <v/>
      </c>
      <c r="L7" s="88">
        <f>100*E5/E13</f>
        <v/>
      </c>
      <c r="M7" s="88">
        <f>100*E15/E16</f>
        <v/>
      </c>
      <c r="N7" s="119">
        <f>IF(N4=LN(10),"",IF(P7&lt;10,"",LN(K7)))</f>
        <v/>
      </c>
      <c r="O7" s="119">
        <f>IF(O4=LN(10),"",IF(P7&lt;10,"",LN(L7)))</f>
        <v/>
      </c>
      <c r="P7" s="88">
        <f>AVERAGE(K7:L7)</f>
        <v/>
      </c>
      <c r="Q7" s="119">
        <f>IF(Q4=LN(10),"",IF(P7&gt;=10,LN(P7),""))</f>
        <v/>
      </c>
      <c r="R7" s="119" t="n"/>
    </row>
    <row r="8">
      <c r="B8" s="110" t="inlineStr">
        <is>
          <t>MS11-20231215-Group 1-MMLM-15min-1</t>
        </is>
      </c>
      <c r="C8" s="111" t="n">
        <v>5510</v>
      </c>
      <c r="D8" s="111" t="n">
        <v>87200</v>
      </c>
      <c r="E8" s="112" t="n">
        <v>0.06320000000000001</v>
      </c>
      <c r="F8" s="112" t="n">
        <v>0.8169999999999999</v>
      </c>
      <c r="G8" s="207" t="inlineStr">
        <is>
          <t>P&lt;0.05 (Mean of %Remaining)</t>
        </is>
      </c>
      <c r="I8" s="120">
        <f>IF(K13=2,"Yes",IF(ABS(K16)&gt;K12,"Yes","No"))</f>
        <v/>
      </c>
      <c r="K8" s="86" t="n"/>
      <c r="L8" s="86" t="n"/>
      <c r="M8" s="86" t="n"/>
      <c r="N8" s="115" t="n"/>
      <c r="O8" s="115" t="n"/>
      <c r="P8" s="86" t="n"/>
      <c r="Q8" s="115" t="n"/>
      <c r="R8" s="115" t="n"/>
    </row>
    <row r="9">
      <c r="B9" s="110" t="inlineStr">
        <is>
          <t>MS11-20231215-Group 1-MMLM-15min-2</t>
        </is>
      </c>
      <c r="C9" s="111" t="n">
        <v>5960</v>
      </c>
      <c r="D9" s="111" t="n">
        <v>85400</v>
      </c>
      <c r="E9" s="112" t="n">
        <v>0.0698</v>
      </c>
      <c r="F9" s="112" t="n">
        <v>0.828</v>
      </c>
      <c r="G9" s="208" t="inlineStr">
        <is>
          <t>P&lt;0.05-1</t>
        </is>
      </c>
      <c r="I9" s="121">
        <f>IF(M13=2,"Yes",IF(ABS(M16)&gt;M12,"Yes","No"))</f>
        <v/>
      </c>
      <c r="J9" s="122" t="n"/>
      <c r="K9" s="122" t="n"/>
      <c r="L9" s="122" t="n"/>
      <c r="M9" s="122" t="n"/>
      <c r="N9" s="123" t="n"/>
      <c r="O9" s="123" t="n"/>
      <c r="P9" s="122" t="n"/>
      <c r="Q9" s="123" t="n"/>
      <c r="R9" s="123" t="n"/>
    </row>
    <row r="10">
      <c r="B10" s="110" t="inlineStr">
        <is>
          <t>MS11-20231215-Group 1-MMLM-5min-1</t>
        </is>
      </c>
      <c r="C10" s="111" t="n">
        <v>24800</v>
      </c>
      <c r="D10" s="111" t="n">
        <v>86900</v>
      </c>
      <c r="E10" s="112" t="n">
        <v>0.285</v>
      </c>
      <c r="F10" s="112" t="n">
        <v>0.825</v>
      </c>
      <c r="G10" s="208" t="inlineStr">
        <is>
          <t>P&lt;0.05-2</t>
        </is>
      </c>
      <c r="I10" s="121">
        <f>IF(O13=2,"Yes",IF(ABS(O16)&gt;O12,"Yes","No"))</f>
        <v/>
      </c>
      <c r="J10" s="124" t="inlineStr">
        <is>
          <t>r</t>
        </is>
      </c>
      <c r="K10" s="125">
        <f>CORREL(Q3:Q7,J3:J7)</f>
        <v/>
      </c>
      <c r="L10" s="124" t="inlineStr">
        <is>
          <t>r</t>
        </is>
      </c>
      <c r="M10" s="125">
        <f>CORREL(N3:N7,J3:J7)</f>
        <v/>
      </c>
      <c r="N10" s="126" t="inlineStr">
        <is>
          <t>r</t>
        </is>
      </c>
      <c r="O10" s="127">
        <f>CORREL(O3:O7,J3:J7)</f>
        <v/>
      </c>
      <c r="P10" s="128" t="n"/>
      <c r="Q10" s="129" t="n"/>
      <c r="R10" s="129" t="n"/>
    </row>
    <row r="11" ht="17" customHeight="1">
      <c r="B11" s="110" t="inlineStr">
        <is>
          <t>MS11-20231215-Group 1-MMLM-5min-2</t>
        </is>
      </c>
      <c r="C11" s="111" t="n">
        <v>25300</v>
      </c>
      <c r="D11" s="111" t="n">
        <v>85300</v>
      </c>
      <c r="E11" s="112" t="n">
        <v>0.296</v>
      </c>
      <c r="F11" s="112" t="n">
        <v>0.8149999999999999</v>
      </c>
      <c r="G11" s="207" t="inlineStr">
        <is>
          <t>R2 (Mean of %Remaining)</t>
        </is>
      </c>
      <c r="I11" s="130">
        <f>RSQ(J3:J7,Q3:Q7)</f>
        <v/>
      </c>
      <c r="J11" s="124" t="inlineStr">
        <is>
          <t>t-value</t>
        </is>
      </c>
      <c r="K11" s="131">
        <f>K10/((1-K10^2)/(K13-2))^0.5</f>
        <v/>
      </c>
      <c r="L11" s="124" t="inlineStr">
        <is>
          <t>t-value</t>
        </is>
      </c>
      <c r="M11" s="131">
        <f>M10/((1-M10^2)/(M13-2))^0.5</f>
        <v/>
      </c>
      <c r="N11" s="126" t="inlineStr">
        <is>
          <t>t-value</t>
        </is>
      </c>
      <c r="O11" s="132">
        <f>O10/((1-O10^2)/(O13-2))^0.5</f>
        <v/>
      </c>
      <c r="P11" s="128" t="n"/>
      <c r="Q11" s="129" t="n"/>
      <c r="R11" s="129" t="n"/>
    </row>
    <row r="12" ht="17" customHeight="1">
      <c r="B12" s="110" t="inlineStr">
        <is>
          <t>MS11-20231215-Group 1-MMLM-0.5min-1</t>
        </is>
      </c>
      <c r="C12" s="111" t="n">
        <v>92200</v>
      </c>
      <c r="D12" s="111" t="n">
        <v>85100</v>
      </c>
      <c r="E12" s="112" t="n">
        <v>1.08</v>
      </c>
      <c r="F12" s="112" t="n">
        <v>0.828</v>
      </c>
      <c r="G12" s="208" t="inlineStr">
        <is>
          <t>R2-1</t>
        </is>
      </c>
      <c r="I12" s="133">
        <f>RSQ(J3:J7,N3:N7)</f>
        <v/>
      </c>
      <c r="J12" s="124" t="inlineStr">
        <is>
          <t>t0.05 criteria</t>
        </is>
      </c>
      <c r="K12" s="134">
        <f>TINV(0.05,(K13-2))</f>
        <v/>
      </c>
      <c r="L12" s="124" t="inlineStr">
        <is>
          <t>t0.05 criteria</t>
        </is>
      </c>
      <c r="M12" s="134">
        <f>TINV(0.05,(M13-2))</f>
        <v/>
      </c>
      <c r="N12" s="126" t="inlineStr">
        <is>
          <t>t0.05 criteria</t>
        </is>
      </c>
      <c r="O12" s="135">
        <f>TINV(0.05,(O13-2))</f>
        <v/>
      </c>
      <c r="P12" s="125" t="n"/>
      <c r="Q12" s="127" t="n"/>
      <c r="R12" s="127" t="n"/>
    </row>
    <row r="13" ht="17" customHeight="1">
      <c r="B13" s="110" t="inlineStr">
        <is>
          <t>MS11-20231215-Group 1-MMLM-0.5min-2</t>
        </is>
      </c>
      <c r="C13" s="111" t="n">
        <v>89400</v>
      </c>
      <c r="D13" s="111" t="n">
        <v>84000</v>
      </c>
      <c r="E13" s="112" t="n">
        <v>1.06</v>
      </c>
      <c r="F13" s="112" t="n">
        <v>0.827</v>
      </c>
      <c r="G13" s="208" t="inlineStr">
        <is>
          <t>R2-2</t>
        </is>
      </c>
      <c r="I13" s="133">
        <f>RSQ(J3:J7,O3:O7)</f>
        <v/>
      </c>
      <c r="J13" s="124" t="inlineStr">
        <is>
          <t>number of data</t>
        </is>
      </c>
      <c r="K13" s="136">
        <f>COUNT(Q3:Q7)</f>
        <v/>
      </c>
      <c r="L13" s="124" t="inlineStr">
        <is>
          <t>number of data</t>
        </is>
      </c>
      <c r="M13" s="136">
        <f>COUNT(N3:N7)</f>
        <v/>
      </c>
      <c r="N13" s="126" t="inlineStr">
        <is>
          <t>number of data</t>
        </is>
      </c>
      <c r="O13" s="137">
        <f>COUNT(O3:O7)</f>
        <v/>
      </c>
      <c r="P13" s="131" t="n"/>
      <c r="Q13" s="132" t="n"/>
      <c r="R13" s="132" t="n"/>
    </row>
    <row r="14">
      <c r="B14" s="110" t="inlineStr">
        <is>
          <t>STD-MMLM</t>
        </is>
      </c>
      <c r="C14" s="111" t="n">
        <v>108000</v>
      </c>
      <c r="D14" s="111" t="n">
        <v>86300</v>
      </c>
      <c r="E14" s="112" t="n">
        <v>1.25</v>
      </c>
      <c r="F14" s="112" t="n">
        <v>0.8169999999999999</v>
      </c>
      <c r="G14" s="207" t="inlineStr">
        <is>
          <t>IS CV%</t>
        </is>
      </c>
      <c r="I14" s="103">
        <f>100*STDEV(D4:D13)/AVERAGE(D4:D13)</f>
        <v/>
      </c>
      <c r="J14" s="124" t="inlineStr">
        <is>
          <t>Slope</t>
        </is>
      </c>
      <c r="K14" s="125">
        <f>SLOPE(Q3:Q7,J3:J7)</f>
        <v/>
      </c>
      <c r="L14" s="124" t="inlineStr">
        <is>
          <t>Slope-1</t>
        </is>
      </c>
      <c r="M14" s="125">
        <f>SLOPE(N3:N7,J3:J7)</f>
        <v/>
      </c>
      <c r="N14" s="126" t="inlineStr">
        <is>
          <t>Slope-2</t>
        </is>
      </c>
      <c r="O14" s="127">
        <f>SLOPE(O3:O7,J3:J7)</f>
        <v/>
      </c>
      <c r="P14" s="134" t="n"/>
      <c r="Q14" s="135" t="n"/>
      <c r="R14" s="135" t="n"/>
    </row>
    <row r="15">
      <c r="B15" s="138" t="inlineStr">
        <is>
          <t>MS11-20231215-Group 1-MMLM-60min-N</t>
        </is>
      </c>
      <c r="C15" s="139" t="n">
        <v>79500</v>
      </c>
      <c r="D15" s="139" t="n">
        <v>88200</v>
      </c>
      <c r="E15" s="140" t="n">
        <v>0.901</v>
      </c>
      <c r="F15" s="112" t="n">
        <v>0.827</v>
      </c>
      <c r="G15" s="207" t="inlineStr">
        <is>
          <t>Slope</t>
        </is>
      </c>
      <c r="I15" s="141">
        <f>K14</f>
        <v/>
      </c>
      <c r="J15" s="124" t="inlineStr">
        <is>
          <t>SE of slope</t>
        </is>
      </c>
      <c r="K15" s="134">
        <f>IF(ISERROR(STEYX(Q3:Q7,J3:J7)/SQRT(DEVSQ(J3:J7))),"",STEYX(Q3:Q7,J3:J7)/SQRT(DEVSQ(J3:J7)))</f>
        <v/>
      </c>
      <c r="L15" s="124" t="inlineStr">
        <is>
          <t>SE of slope</t>
        </is>
      </c>
      <c r="M15" s="134">
        <f>IF(ISERROR(STEYX(N3:N7,J3:J7)/SQRT(DEVSQ(J3:J7))),"",STEYX(N3:N7,J3:J7)/SQRT(DEVSQ(J3:J7)))</f>
        <v/>
      </c>
      <c r="N15" s="126" t="inlineStr">
        <is>
          <t>SE of slope</t>
        </is>
      </c>
      <c r="O15" s="135">
        <f>IF(ISERROR(STEYX(O3:O7,J3:J7)/SQRT(DEVSQ(J3:J7))),"",STEYX(O3:O7,J3:J7)/SQRT(DEVSQ(J3:J7)))</f>
        <v/>
      </c>
      <c r="P15" s="136" t="n"/>
      <c r="Q15" s="137" t="n"/>
      <c r="R15" s="137" t="n"/>
    </row>
    <row r="16">
      <c r="B16" s="138" t="inlineStr">
        <is>
          <t>MS11-20231215-Group 1-MMLM-0.5min-N</t>
        </is>
      </c>
      <c r="C16" s="139" t="n">
        <v>81200</v>
      </c>
      <c r="D16" s="139" t="n">
        <v>91600</v>
      </c>
      <c r="E16" s="140" t="n">
        <v>0.886</v>
      </c>
      <c r="F16" s="112" t="n">
        <v>0.8169999999999999</v>
      </c>
      <c r="G16" s="209" t="n"/>
      <c r="J16" s="124" t="inlineStr">
        <is>
          <t>Slope/SE</t>
        </is>
      </c>
      <c r="K16" s="131">
        <f>IF(ISERROR(K14/K15),"",K14/K15)</f>
        <v/>
      </c>
      <c r="L16" s="124" t="inlineStr">
        <is>
          <t>Slope/SE</t>
        </is>
      </c>
      <c r="M16" s="131">
        <f>IF(ISERROR(M14/M15),"",M14/M15)</f>
        <v/>
      </c>
      <c r="N16" s="126" t="inlineStr">
        <is>
          <t>Slope/SE</t>
        </is>
      </c>
      <c r="O16" s="132">
        <f>IF(ISERROR(O14/O15),"",O14/O15)</f>
        <v/>
      </c>
      <c r="P16" s="125" t="n"/>
      <c r="Q16" s="127" t="n"/>
      <c r="R16" s="127" t="n"/>
    </row>
    <row r="17">
      <c r="C17" s="142" t="n"/>
      <c r="D17" s="142" t="n"/>
      <c r="E17" s="143" t="n"/>
      <c r="F17" s="143" t="n"/>
      <c r="G17" s="209" t="n"/>
      <c r="J17" s="144" t="n"/>
      <c r="K17" s="144" t="n"/>
      <c r="L17" s="144" t="n"/>
      <c r="M17" s="144" t="n"/>
      <c r="N17" s="145" t="n"/>
      <c r="O17" s="145" t="n"/>
      <c r="P17" s="144" t="n"/>
      <c r="Q17" s="145" t="n"/>
      <c r="R17" s="145" t="n"/>
    </row>
    <row r="18">
      <c r="C18" s="142" t="n"/>
      <c r="D18" s="142" t="n"/>
      <c r="E18" s="143" t="n"/>
      <c r="F18" s="143" t="n"/>
      <c r="G18" s="209" t="n"/>
      <c r="J18" s="146" t="n"/>
      <c r="K18" s="146" t="n"/>
      <c r="L18" s="146" t="n"/>
      <c r="M18" s="146" t="n"/>
      <c r="N18" s="147" t="n"/>
      <c r="O18" s="147" t="n"/>
      <c r="P18" s="144" t="n"/>
      <c r="Q18" s="145" t="n"/>
      <c r="R18" s="145" t="n"/>
    </row>
    <row r="19">
      <c r="C19" s="142" t="n"/>
      <c r="D19" s="142" t="n"/>
      <c r="E19" s="143" t="n"/>
      <c r="F19" s="143" t="n"/>
      <c r="G19" s="209" t="n"/>
      <c r="J19" s="144" t="n"/>
      <c r="K19" s="144" t="n"/>
      <c r="L19" s="144" t="n"/>
      <c r="M19" s="144" t="n"/>
      <c r="N19" s="145" t="n"/>
      <c r="O19" s="145" t="n">
        <v>-0.09170065713797154</v>
      </c>
      <c r="P19" s="144" t="n"/>
      <c r="Q19" s="145" t="n"/>
      <c r="R19" s="145" t="n"/>
    </row>
    <row r="20">
      <c r="C20" s="142" t="n"/>
      <c r="D20" s="142" t="n"/>
      <c r="E20" s="143" t="n"/>
      <c r="F20" s="143" t="n"/>
      <c r="G20" s="209" t="n"/>
      <c r="J20" s="144" t="n"/>
      <c r="K20" s="144" t="n"/>
      <c r="L20" s="144" t="n"/>
      <c r="M20" s="144" t="n"/>
      <c r="N20" s="145" t="n"/>
      <c r="O20" s="145" t="n"/>
      <c r="P20" s="144" t="n"/>
      <c r="Q20" s="145" t="n"/>
      <c r="R20" s="145" t="n"/>
    </row>
    <row r="21">
      <c r="C21" s="142" t="n"/>
      <c r="D21" s="142" t="n"/>
      <c r="E21" s="143" t="n"/>
      <c r="F21" s="143" t="n"/>
      <c r="G21" s="209" t="n"/>
      <c r="J21" s="144" t="n"/>
      <c r="K21" s="144" t="n"/>
      <c r="L21" s="144" t="n"/>
      <c r="M21" s="144" t="n"/>
      <c r="N21" s="145" t="n"/>
      <c r="O21" s="145" t="n"/>
      <c r="P21" s="144" t="n"/>
      <c r="Q21" s="145" t="n"/>
      <c r="R21" s="145" t="n"/>
    </row>
    <row r="22" customFormat="1" s="153">
      <c r="A22" s="148" t="n"/>
      <c r="B22" s="148" t="n"/>
      <c r="C22" s="149" t="n"/>
      <c r="D22" s="149" t="n"/>
      <c r="E22" s="150" t="n"/>
      <c r="F22" s="150" t="n"/>
      <c r="G22" s="118" t="n"/>
      <c r="H22" s="118" t="n"/>
      <c r="I22" s="118" t="n"/>
      <c r="J22" s="118" t="n"/>
      <c r="K22" s="118" t="n"/>
      <c r="L22" s="118" t="n"/>
      <c r="M22" s="118" t="n"/>
      <c r="N22" s="151" t="n"/>
      <c r="O22" s="151" t="n"/>
      <c r="P22" s="152" t="n"/>
      <c r="Q22" s="151" t="n"/>
      <c r="R22" s="151" t="n"/>
    </row>
    <row r="23"/>
    <row r="24" ht="48" customHeight="1">
      <c r="A24" s="100" t="inlineStr">
        <is>
          <t>Cpd02</t>
        </is>
      </c>
      <c r="B24" s="101" t="inlineStr">
        <is>
          <t>Sample Name</t>
        </is>
      </c>
      <c r="C24" s="101" t="inlineStr">
        <is>
          <t>Analyte Peak Area (counts)</t>
        </is>
      </c>
      <c r="D24" s="101" t="inlineStr">
        <is>
          <t>IS Peak Area (counts)</t>
        </is>
      </c>
      <c r="E24" s="102" t="inlineStr">
        <is>
          <t>Area Ratio</t>
        </is>
      </c>
      <c r="F24" s="101" t="inlineStr">
        <is>
          <t>Analyte Retention Time (min)</t>
        </is>
      </c>
      <c r="G24" s="205" t="inlineStr">
        <is>
          <t>Mean of Clint
 (μL/min/mg protein)</t>
        </is>
      </c>
      <c r="I24" s="103">
        <f>IF(AND(I25="NV",I26="NV"),"NV",AVERAGE(I25:I26))</f>
        <v/>
      </c>
      <c r="J24" s="104" t="inlineStr">
        <is>
          <t>Time (min)</t>
        </is>
      </c>
      <c r="K24" s="105" t="inlineStr">
        <is>
          <t>%Remaining-1</t>
        </is>
      </c>
      <c r="L24" s="105" t="inlineStr">
        <is>
          <t>%Remaining-2</t>
        </is>
      </c>
      <c r="M24" s="105" t="inlineStr">
        <is>
          <t>%Remaining-N</t>
        </is>
      </c>
      <c r="N24" s="106" t="inlineStr">
        <is>
          <t>LN of %Remaining-1</t>
        </is>
      </c>
      <c r="O24" s="106" t="inlineStr">
        <is>
          <t>LN of %Remaining-2</t>
        </is>
      </c>
      <c r="P24" s="107" t="inlineStr">
        <is>
          <t>Mean of %Remaining</t>
        </is>
      </c>
      <c r="Q24" s="108" t="inlineStr">
        <is>
          <t xml:space="preserve"> LN (Mean of %Remaining)</t>
        </is>
      </c>
      <c r="R24" s="108" t="inlineStr">
        <is>
          <t xml:space="preserve"> LN (Mean of %Remaining)</t>
        </is>
      </c>
    </row>
    <row r="25">
      <c r="A25" s="100" t="inlineStr">
        <is>
          <t>PH-NTU-00-00-000-1</t>
        </is>
      </c>
      <c r="B25" s="110" t="inlineStr">
        <is>
          <t>Blank-MMLM</t>
        </is>
      </c>
      <c r="C25" s="111" t="n">
        <v>410</v>
      </c>
      <c r="D25" s="111" t="n">
        <v>108000</v>
      </c>
      <c r="E25" s="112" t="n">
        <v>0.00379</v>
      </c>
      <c r="F25" s="112" t="n">
        <v>0.781</v>
      </c>
      <c r="G25" s="204" t="inlineStr">
        <is>
          <t>Clint-1</t>
        </is>
      </c>
      <c r="I25" s="113">
        <f>IF(K26=0,"NV",-M36*2000)</f>
        <v/>
      </c>
      <c r="J25" s="114" t="n">
        <v>0.5</v>
      </c>
      <c r="K25" s="86">
        <f>100*E34/E34</f>
        <v/>
      </c>
      <c r="L25" s="86">
        <f>100*E35/E35</f>
        <v/>
      </c>
      <c r="M25" s="86">
        <f>100*E38/E38</f>
        <v/>
      </c>
      <c r="N25" s="115">
        <f>LN(K25)</f>
        <v/>
      </c>
      <c r="O25" s="115">
        <f>LN(L25)</f>
        <v/>
      </c>
      <c r="P25" s="86">
        <f>100*AVERAGE(E34:E35)/AVERAGE(E34:E35)</f>
        <v/>
      </c>
      <c r="Q25" s="115">
        <f>LN(P25)</f>
        <v/>
      </c>
      <c r="R25" s="115">
        <f>LN(P25)</f>
        <v/>
      </c>
    </row>
    <row r="26">
      <c r="A26" s="116">
        <f>CONCATENATE("Stability of ",A25," in ",REPLACE(CELL("filename",A27),1,FIND("]",CELL("filename")),A27))</f>
        <v/>
      </c>
      <c r="B26" s="110" t="inlineStr">
        <is>
          <t>MS11-20231215-Group 2-MMLM-60min-1</t>
        </is>
      </c>
      <c r="C26" s="111" t="n">
        <v>73800</v>
      </c>
      <c r="D26" s="111" t="n">
        <v>111000</v>
      </c>
      <c r="E26" s="112" t="n">
        <v>0.664</v>
      </c>
      <c r="F26" s="112" t="n">
        <v>0.789</v>
      </c>
      <c r="G26" s="204" t="inlineStr">
        <is>
          <t>Clint-2</t>
        </is>
      </c>
      <c r="I26" s="113">
        <f>IF(L26=0,"NV",-O36*2000)</f>
        <v/>
      </c>
      <c r="J26" s="114" t="n">
        <v>5</v>
      </c>
      <c r="K26" s="209">
        <f>100*E32/E34</f>
        <v/>
      </c>
      <c r="L26" s="209">
        <f>100*E33/E35</f>
        <v/>
      </c>
      <c r="M26" s="209" t="n"/>
      <c r="N26" s="115">
        <f>IF(AND(K26=0,L26=0),LN(10),LN(K26))</f>
        <v/>
      </c>
      <c r="O26" s="115">
        <f>IF(AND(K26=0,L26=0),LN(10),LN(L26))</f>
        <v/>
      </c>
      <c r="P26" s="209">
        <f>AVERAGE(K26:L26)</f>
        <v/>
      </c>
      <c r="Q26" s="115">
        <f>IF(P26=0,LN(10),LN(P26))</f>
        <v/>
      </c>
      <c r="R26" s="115">
        <f>IF(P26=0,LN(10),LN(P26))</f>
        <v/>
      </c>
    </row>
    <row r="27" ht="17" customHeight="1">
      <c r="B27" s="110" t="inlineStr">
        <is>
          <t>MS11-20231215-Group 2-MMLM-60min-2</t>
        </is>
      </c>
      <c r="C27" s="111" t="n">
        <v>68300</v>
      </c>
      <c r="D27" s="111" t="n">
        <v>113000</v>
      </c>
      <c r="E27" s="112" t="n">
        <v>0.604</v>
      </c>
      <c r="F27" s="112" t="n">
        <v>0.789</v>
      </c>
      <c r="G27" s="206" t="inlineStr">
        <is>
          <t>Mean of t1/2 (min)</t>
        </is>
      </c>
      <c r="I27" s="117">
        <f>IF(AND(I28="NV",I29="NV"),"NV",AVERAGE(I28:I29))</f>
        <v/>
      </c>
      <c r="J27" s="114" t="n">
        <v>15</v>
      </c>
      <c r="K27" s="209">
        <f>100*E30/E34</f>
        <v/>
      </c>
      <c r="L27" s="209">
        <f>100*E31/E35</f>
        <v/>
      </c>
      <c r="M27" s="209" t="n"/>
      <c r="N27" s="115">
        <f>IF(N26=LN(10),"",IF(P27&lt;10,"",LN(K27)))</f>
        <v/>
      </c>
      <c r="O27" s="115">
        <f>IF(O26=LN(10),"",IF(P27&lt;10,"",LN(L27)))</f>
        <v/>
      </c>
      <c r="P27" s="209">
        <f>AVERAGE(K27:L27)</f>
        <v/>
      </c>
      <c r="Q27" s="115">
        <f>IF(Q26=LN(10),"",IF(P27&gt;=10,LN(P27),""))</f>
        <v/>
      </c>
      <c r="R27" s="115">
        <f>IF(R26=LN(10),NA(),IF(P27&gt;=10,LN(P27),NA()))</f>
        <v/>
      </c>
    </row>
    <row r="28" ht="17" customHeight="1">
      <c r="B28" s="110" t="inlineStr">
        <is>
          <t>MS11-20231215-Group 2-MMLM-30min-1</t>
        </is>
      </c>
      <c r="C28" s="111" t="n">
        <v>88700</v>
      </c>
      <c r="D28" s="111" t="n">
        <v>96800</v>
      </c>
      <c r="E28" s="112" t="n">
        <v>0.916</v>
      </c>
      <c r="F28" s="112" t="n">
        <v>0.779</v>
      </c>
      <c r="G28" s="204" t="inlineStr">
        <is>
          <t>t1/2-1</t>
        </is>
      </c>
      <c r="I28" s="113">
        <f>IF(I25="NV","NV",-0.693/M36)</f>
        <v/>
      </c>
      <c r="J28" s="114" t="n">
        <v>30</v>
      </c>
      <c r="K28" s="209">
        <f>100*E28/E34</f>
        <v/>
      </c>
      <c r="L28" s="209">
        <f>100*E29/E35</f>
        <v/>
      </c>
      <c r="M28" s="209" t="n"/>
      <c r="N28" s="115">
        <f>IF(N26=LN(10),"",IF(P28&lt;10,"",LN(K28)))</f>
        <v/>
      </c>
      <c r="O28" s="115">
        <f>IF(O26=LN(10),"",IF(P28&lt;10,"",LN(L28)))</f>
        <v/>
      </c>
      <c r="P28" s="209">
        <f>AVERAGE(K28:L28)</f>
        <v/>
      </c>
      <c r="Q28" s="115">
        <f>IF(Q26=LN(10),"",IF(P28&gt;=10,LN(P28),""))</f>
        <v/>
      </c>
      <c r="R28" s="115">
        <f>IF(R26=LN(10),NA(),IF(P28&gt;=10,LN(P28),NA()))</f>
        <v/>
      </c>
    </row>
    <row r="29" ht="17" customHeight="1">
      <c r="B29" s="110" t="inlineStr">
        <is>
          <t>MS11-20231215-Group 2-MMLM-30min-2</t>
        </is>
      </c>
      <c r="C29" s="111" t="n">
        <v>89500</v>
      </c>
      <c r="D29" s="111" t="n">
        <v>108000</v>
      </c>
      <c r="E29" s="112" t="n">
        <v>0.832</v>
      </c>
      <c r="F29" s="112" t="n">
        <v>0.787</v>
      </c>
      <c r="G29" s="204" t="inlineStr">
        <is>
          <t>t1/2-2</t>
        </is>
      </c>
      <c r="I29" s="113">
        <f>IF(I26="NV","NV",-0.693/O36)</f>
        <v/>
      </c>
      <c r="J29" s="118" t="n">
        <v>60</v>
      </c>
      <c r="K29" s="88">
        <f>100*E26/E34</f>
        <v/>
      </c>
      <c r="L29" s="88">
        <f>100*E27/E35</f>
        <v/>
      </c>
      <c r="M29" s="88">
        <f>100*E37/E38</f>
        <v/>
      </c>
      <c r="N29" s="119">
        <f>IF(N26=LN(10),"",IF(P29&lt;10,"",LN(K29)))</f>
        <v/>
      </c>
      <c r="O29" s="119">
        <f>IF(O26=LN(10),"",IF(P29&lt;10,"",LN(L29)))</f>
        <v/>
      </c>
      <c r="P29" s="88">
        <f>AVERAGE(K29:L29)</f>
        <v/>
      </c>
      <c r="Q29" s="119">
        <f>IF(Q26=LN(10),"",IF(P29&gt;=10,LN(P29),""))</f>
        <v/>
      </c>
      <c r="R29" s="119">
        <f>IF(R25=LN(10),NA(),IF(P29&gt;=10,LN(P29),NA()))</f>
        <v/>
      </c>
    </row>
    <row r="30">
      <c r="B30" s="110" t="inlineStr">
        <is>
          <t>MS11-20231215-Group 2-MMLM-15min-1</t>
        </is>
      </c>
      <c r="C30" s="111" t="n">
        <v>105000</v>
      </c>
      <c r="D30" s="111" t="n">
        <v>110000</v>
      </c>
      <c r="E30" s="112" t="n">
        <v>0.952</v>
      </c>
      <c r="F30" s="112" t="n">
        <v>0.791</v>
      </c>
      <c r="G30" s="207" t="inlineStr">
        <is>
          <t>P&lt;0.05 (Mean of %Remaining)</t>
        </is>
      </c>
      <c r="I30" s="120">
        <f>IF(K35=2,"Yes",IF(ABS(K38)&gt;K34,"Yes","No"))</f>
        <v/>
      </c>
      <c r="K30" s="86" t="n"/>
      <c r="L30" s="86" t="n"/>
      <c r="M30" s="86" t="n"/>
      <c r="N30" s="115" t="n"/>
      <c r="O30" s="115" t="n"/>
      <c r="P30" s="86" t="n"/>
      <c r="Q30" s="115" t="n"/>
      <c r="R30" s="115" t="n"/>
    </row>
    <row r="31">
      <c r="B31" s="110" t="inlineStr">
        <is>
          <t>MS11-20231215-Group 2-MMLM-15min-2</t>
        </is>
      </c>
      <c r="C31" s="111" t="n">
        <v>98800</v>
      </c>
      <c r="D31" s="111" t="n">
        <v>103000</v>
      </c>
      <c r="E31" s="112" t="n">
        <v>0.956</v>
      </c>
      <c r="F31" s="112" t="n">
        <v>0.79</v>
      </c>
      <c r="G31" s="208" t="inlineStr">
        <is>
          <t>P&lt;0.05-1</t>
        </is>
      </c>
      <c r="I31" s="121">
        <f>IF(M35=2,"Yes",IF(ABS(M38)&gt;M34,"Yes","No"))</f>
        <v/>
      </c>
      <c r="J31" s="122" t="n"/>
      <c r="K31" s="122" t="n"/>
      <c r="L31" s="122" t="n"/>
      <c r="M31" s="122" t="n"/>
      <c r="N31" s="123" t="n"/>
      <c r="O31" s="123" t="n"/>
      <c r="P31" s="122" t="n"/>
      <c r="Q31" s="123" t="n"/>
      <c r="R31" s="123" t="n"/>
    </row>
    <row r="32">
      <c r="B32" s="110" t="inlineStr">
        <is>
          <t>MS11-20231215-Group 2-MMLM-5min-1</t>
        </is>
      </c>
      <c r="C32" s="111" t="n">
        <v>125000</v>
      </c>
      <c r="D32" s="111" t="n">
        <v>104000</v>
      </c>
      <c r="E32" s="112" t="n">
        <v>1.21</v>
      </c>
      <c r="F32" s="112" t="n">
        <v>0.78</v>
      </c>
      <c r="G32" s="208" t="inlineStr">
        <is>
          <t>P&lt;0.05-2</t>
        </is>
      </c>
      <c r="I32" s="121">
        <f>IF(O35=2,"Yes",IF(ABS(O38)&gt;O34,"Yes","No"))</f>
        <v/>
      </c>
      <c r="J32" s="124" t="inlineStr">
        <is>
          <t>r</t>
        </is>
      </c>
      <c r="K32" s="125">
        <f>CORREL(Q25:Q29,J25:J29)</f>
        <v/>
      </c>
      <c r="L32" s="124" t="inlineStr">
        <is>
          <t>r</t>
        </is>
      </c>
      <c r="M32" s="125">
        <f>CORREL(N25:N29,J25:J29)</f>
        <v/>
      </c>
      <c r="N32" s="126" t="inlineStr">
        <is>
          <t>r</t>
        </is>
      </c>
      <c r="O32" s="127">
        <f>CORREL(O25:O29,J25:J29)</f>
        <v/>
      </c>
      <c r="P32" s="128" t="n"/>
      <c r="Q32" s="129" t="n"/>
      <c r="R32" s="129" t="n"/>
    </row>
    <row r="33" ht="17" customHeight="1">
      <c r="B33" s="110" t="inlineStr">
        <is>
          <t>MS11-20231215-Group 2-MMLM-5min-2</t>
        </is>
      </c>
      <c r="C33" s="111" t="n">
        <v>110000</v>
      </c>
      <c r="D33" s="111" t="n">
        <v>108000</v>
      </c>
      <c r="E33" s="112" t="n">
        <v>1.01</v>
      </c>
      <c r="F33" s="112" t="n">
        <v>0.788</v>
      </c>
      <c r="G33" s="207" t="inlineStr">
        <is>
          <t>R2 (Mean of %Remaining)</t>
        </is>
      </c>
      <c r="I33" s="130">
        <f>RSQ(J25:J29,Q25:Q29)</f>
        <v/>
      </c>
      <c r="J33" s="124" t="inlineStr">
        <is>
          <t>t-value</t>
        </is>
      </c>
      <c r="K33" s="131">
        <f>K32/((1-K32^2)/(K35-2))^0.5</f>
        <v/>
      </c>
      <c r="L33" s="124" t="inlineStr">
        <is>
          <t>t-value</t>
        </is>
      </c>
      <c r="M33" s="131">
        <f>M32/((1-M32^2)/(M35-2))^0.5</f>
        <v/>
      </c>
      <c r="N33" s="126" t="inlineStr">
        <is>
          <t>t-value</t>
        </is>
      </c>
      <c r="O33" s="132">
        <f>O32/((1-O32^2)/(O35-2))^0.5</f>
        <v/>
      </c>
      <c r="P33" s="128" t="n"/>
      <c r="Q33" s="129" t="n"/>
      <c r="R33" s="129" t="n"/>
    </row>
    <row r="34" ht="17" customHeight="1">
      <c r="B34" s="110" t="inlineStr">
        <is>
          <t>MS11-20231215-Group 2-MMLM-0.5min-1</t>
        </is>
      </c>
      <c r="C34" s="111" t="n">
        <v>117000</v>
      </c>
      <c r="D34" s="111" t="n">
        <v>97900</v>
      </c>
      <c r="E34" s="112" t="n">
        <v>1.2</v>
      </c>
      <c r="F34" s="112" t="n">
        <v>0.782</v>
      </c>
      <c r="G34" s="208" t="inlineStr">
        <is>
          <t>R2-1</t>
        </is>
      </c>
      <c r="I34" s="133">
        <f>RSQ(J25:J29,N25:N29)</f>
        <v/>
      </c>
      <c r="J34" s="124" t="inlineStr">
        <is>
          <t>t0.05 criteria</t>
        </is>
      </c>
      <c r="K34" s="134">
        <f>TINV(0.05,(K35-2))</f>
        <v/>
      </c>
      <c r="L34" s="124" t="inlineStr">
        <is>
          <t>t0.05 criteria</t>
        </is>
      </c>
      <c r="M34" s="134">
        <f>TINV(0.05,(M35-2))</f>
        <v/>
      </c>
      <c r="N34" s="126" t="inlineStr">
        <is>
          <t>t0.05 criteria</t>
        </is>
      </c>
      <c r="O34" s="135">
        <f>TINV(0.05,(O35-2))</f>
        <v/>
      </c>
      <c r="P34" s="125" t="n"/>
      <c r="Q34" s="127" t="n"/>
      <c r="R34" s="127" t="n"/>
    </row>
    <row r="35" ht="17" customHeight="1">
      <c r="B35" s="110" t="inlineStr">
        <is>
          <t>MS11-20231215-Group 2-MMLM-0.5min-2</t>
        </is>
      </c>
      <c r="C35" s="111" t="n">
        <v>122000</v>
      </c>
      <c r="D35" s="111" t="n">
        <v>106000</v>
      </c>
      <c r="E35" s="112" t="n">
        <v>1.15</v>
      </c>
      <c r="F35" s="112" t="n">
        <v>0.781</v>
      </c>
      <c r="G35" s="208" t="inlineStr">
        <is>
          <t>R2-2</t>
        </is>
      </c>
      <c r="I35" s="133">
        <f>RSQ(J25:J29,O25:O29)</f>
        <v/>
      </c>
      <c r="J35" s="124" t="inlineStr">
        <is>
          <t>number of data</t>
        </is>
      </c>
      <c r="K35" s="136">
        <f>COUNT(Q25:Q29)</f>
        <v/>
      </c>
      <c r="L35" s="124" t="inlineStr">
        <is>
          <t>number of data</t>
        </is>
      </c>
      <c r="M35" s="136">
        <f>COUNT(N25:N29)</f>
        <v/>
      </c>
      <c r="N35" s="126" t="inlineStr">
        <is>
          <t>number of data</t>
        </is>
      </c>
      <c r="O35" s="137">
        <f>COUNT(O25:O29)</f>
        <v/>
      </c>
      <c r="P35" s="131" t="n"/>
      <c r="Q35" s="132" t="n"/>
      <c r="R35" s="132" t="n"/>
    </row>
    <row r="36">
      <c r="B36" s="110" t="inlineStr">
        <is>
          <t>STD-MMLM</t>
        </is>
      </c>
      <c r="C36" s="111" t="n">
        <v>156000</v>
      </c>
      <c r="D36" s="111" t="n">
        <v>117000</v>
      </c>
      <c r="E36" s="112" t="n">
        <v>1.34</v>
      </c>
      <c r="F36" s="112" t="n">
        <v>0.781</v>
      </c>
      <c r="G36" s="207" t="inlineStr">
        <is>
          <t>IS CV%</t>
        </is>
      </c>
      <c r="I36" s="103">
        <f>100*STDEV(D26:D35)/AVERAGE(D26:D35)</f>
        <v/>
      </c>
      <c r="J36" s="124" t="inlineStr">
        <is>
          <t>Slope</t>
        </is>
      </c>
      <c r="K36" s="125">
        <f>SLOPE(Q25:Q29,J25:J29)</f>
        <v/>
      </c>
      <c r="L36" s="124" t="inlineStr">
        <is>
          <t>Slope-1</t>
        </is>
      </c>
      <c r="M36" s="125">
        <f>SLOPE(N25:N29,J25:J29)</f>
        <v/>
      </c>
      <c r="N36" s="126" t="inlineStr">
        <is>
          <t>Slope-2</t>
        </is>
      </c>
      <c r="O36" s="127">
        <f>SLOPE(O25:O29,J25:J29)</f>
        <v/>
      </c>
      <c r="P36" s="134" t="n"/>
      <c r="Q36" s="135" t="n"/>
      <c r="R36" s="135" t="n"/>
    </row>
    <row r="37">
      <c r="B37" s="138" t="inlineStr">
        <is>
          <t>MS11-20231215-Group 2-MMLM-60min-N</t>
        </is>
      </c>
      <c r="C37" s="139" t="n">
        <v>115000</v>
      </c>
      <c r="D37" s="139" t="n">
        <v>101000</v>
      </c>
      <c r="E37" s="140" t="n">
        <v>1.14</v>
      </c>
      <c r="F37" s="112" t="n">
        <v>0.784</v>
      </c>
      <c r="G37" s="207" t="inlineStr">
        <is>
          <t>Slope</t>
        </is>
      </c>
      <c r="I37" s="141">
        <f>K36</f>
        <v/>
      </c>
      <c r="J37" s="124" t="inlineStr">
        <is>
          <t>SE of slope</t>
        </is>
      </c>
      <c r="K37" s="134">
        <f>IF(ISERROR(STEYX(Q25:Q29,J25:J29)/SQRT(DEVSQ(J25:J29))),"",STEYX(Q25:Q29,J25:J29)/SQRT(DEVSQ(J25:J29)))</f>
        <v/>
      </c>
      <c r="L37" s="124" t="inlineStr">
        <is>
          <t>SE of slope</t>
        </is>
      </c>
      <c r="M37" s="134">
        <f>IF(ISERROR(STEYX(N25:N29,J25:J29)/SQRT(DEVSQ(J25:J29))),"",STEYX(N25:N29,J25:J29)/SQRT(DEVSQ(J25:J29)))</f>
        <v/>
      </c>
      <c r="N37" s="126" t="inlineStr">
        <is>
          <t>SE of slope</t>
        </is>
      </c>
      <c r="O37" s="135">
        <f>IF(ISERROR(STEYX(O25:O29,J25:J29)/SQRT(DEVSQ(J25:J29))),"",STEYX(O25:O29,J25:J29)/SQRT(DEVSQ(J25:J29)))</f>
        <v/>
      </c>
      <c r="P37" s="136" t="n"/>
      <c r="Q37" s="137" t="n"/>
      <c r="R37" s="137" t="n"/>
    </row>
    <row r="38">
      <c r="B38" s="138" t="inlineStr">
        <is>
          <t>MS11-20231215-Group 2-MMLM-0.5min-N</t>
        </is>
      </c>
      <c r="C38" s="139" t="n">
        <v>128000</v>
      </c>
      <c r="D38" s="139" t="n">
        <v>104000</v>
      </c>
      <c r="E38" s="140" t="n">
        <v>1.23</v>
      </c>
      <c r="F38" s="112" t="n">
        <v>0.79</v>
      </c>
      <c r="G38" s="209" t="n"/>
      <c r="J38" s="124" t="inlineStr">
        <is>
          <t>Slope/SE</t>
        </is>
      </c>
      <c r="K38" s="131">
        <f>IF(ISERROR(K36/K37),"",K36/K37)</f>
        <v/>
      </c>
      <c r="L38" s="124" t="inlineStr">
        <is>
          <t>Slope/SE</t>
        </is>
      </c>
      <c r="M38" s="131">
        <f>IF(ISERROR(M36/M37),"",M36/M37)</f>
        <v/>
      </c>
      <c r="N38" s="126" t="inlineStr">
        <is>
          <t>Slope/SE</t>
        </is>
      </c>
      <c r="O38" s="132">
        <f>IF(ISERROR(O36/O37),"",O36/O37)</f>
        <v/>
      </c>
      <c r="P38" s="125" t="n"/>
      <c r="Q38" s="127" t="n"/>
      <c r="R38" s="127" t="n"/>
    </row>
    <row r="39">
      <c r="C39" s="142" t="n"/>
      <c r="D39" s="142" t="n"/>
      <c r="E39" s="143" t="n"/>
      <c r="F39" s="143" t="n"/>
      <c r="G39" s="209" t="n"/>
      <c r="J39" s="144" t="n"/>
      <c r="K39" s="144" t="n"/>
      <c r="L39" s="144" t="n"/>
      <c r="M39" s="144" t="n"/>
      <c r="N39" s="145" t="n"/>
      <c r="O39" s="145" t="n"/>
      <c r="P39" s="144" t="n"/>
      <c r="Q39" s="145" t="n"/>
      <c r="R39" s="145" t="n"/>
    </row>
    <row r="40">
      <c r="C40" s="142" t="n"/>
      <c r="D40" s="142" t="n"/>
      <c r="E40" s="143" t="n"/>
      <c r="F40" s="143" t="n"/>
      <c r="G40" s="209" t="n"/>
      <c r="J40" s="146" t="n"/>
      <c r="K40" s="146" t="n"/>
      <c r="L40" s="146" t="n"/>
      <c r="M40" s="146" t="n"/>
      <c r="N40" s="147" t="n"/>
      <c r="O40" s="147" t="n"/>
      <c r="P40" s="144" t="n"/>
      <c r="Q40" s="145" t="n"/>
      <c r="R40" s="145" t="n"/>
    </row>
    <row r="41">
      <c r="C41" s="142" t="n"/>
      <c r="D41" s="142" t="n"/>
      <c r="E41" s="143" t="n"/>
      <c r="F41" s="143" t="n"/>
      <c r="G41" s="209" t="n"/>
      <c r="J41" s="144" t="n"/>
      <c r="K41" s="144" t="n"/>
      <c r="L41" s="144" t="n"/>
      <c r="M41" s="144" t="n"/>
      <c r="N41" s="145" t="n"/>
      <c r="O41" s="145" t="n">
        <v>-0.09170065713797154</v>
      </c>
      <c r="P41" s="144" t="n"/>
      <c r="Q41" s="145" t="n"/>
      <c r="R41" s="145" t="n"/>
    </row>
    <row r="42">
      <c r="C42" s="142" t="n"/>
      <c r="D42" s="142" t="n"/>
      <c r="E42" s="143" t="n"/>
      <c r="F42" s="143" t="n"/>
      <c r="G42" s="209" t="n"/>
      <c r="J42" s="144" t="n"/>
      <c r="K42" s="144" t="n"/>
      <c r="L42" s="144" t="n"/>
      <c r="M42" s="144" t="n"/>
      <c r="N42" s="145" t="n"/>
      <c r="O42" s="145" t="n"/>
      <c r="P42" s="144" t="n"/>
      <c r="Q42" s="145" t="n"/>
      <c r="R42" s="145" t="n"/>
    </row>
    <row r="43">
      <c r="C43" s="142" t="n"/>
      <c r="D43" s="142" t="n"/>
      <c r="E43" s="143" t="n"/>
      <c r="F43" s="143" t="n"/>
      <c r="G43" s="209" t="n"/>
      <c r="J43" s="144" t="n"/>
      <c r="K43" s="144" t="n"/>
      <c r="L43" s="144" t="n"/>
      <c r="M43" s="144" t="n"/>
      <c r="N43" s="145" t="n"/>
      <c r="O43" s="145" t="n"/>
      <c r="P43" s="144" t="n"/>
      <c r="Q43" s="145" t="n"/>
      <c r="R43" s="145" t="n"/>
    </row>
    <row r="44" customFormat="1" s="153">
      <c r="A44" s="148" t="n"/>
      <c r="B44" s="148" t="n"/>
      <c r="C44" s="149" t="n"/>
      <c r="D44" s="149" t="n"/>
      <c r="E44" s="150" t="n"/>
      <c r="F44" s="150" t="n"/>
      <c r="G44" s="118" t="n"/>
      <c r="H44" s="118" t="n"/>
      <c r="I44" s="118" t="n"/>
      <c r="J44" s="118" t="n"/>
      <c r="K44" s="118" t="n"/>
      <c r="L44" s="118" t="n"/>
      <c r="M44" s="118" t="n"/>
      <c r="N44" s="151" t="n"/>
      <c r="O44" s="151" t="n"/>
      <c r="P44" s="152" t="n"/>
      <c r="Q44" s="151" t="n"/>
      <c r="R44" s="151" t="n"/>
    </row>
  </sheetData>
  <mergeCells count="40">
    <mergeCell ref="G21:H21"/>
    <mergeCell ref="G43:H43"/>
    <mergeCell ref="G12:H12"/>
    <mergeCell ref="G2:H2"/>
    <mergeCell ref="G42:H42"/>
    <mergeCell ref="G11:H11"/>
    <mergeCell ref="G27:H27"/>
    <mergeCell ref="G36:H36"/>
    <mergeCell ref="G8:H8"/>
    <mergeCell ref="G17:H17"/>
    <mergeCell ref="G39:H39"/>
    <mergeCell ref="G38:H38"/>
    <mergeCell ref="G7:H7"/>
    <mergeCell ref="G10:H10"/>
    <mergeCell ref="G19:H19"/>
    <mergeCell ref="G37:H37"/>
    <mergeCell ref="G28:H28"/>
    <mergeCell ref="G6:H6"/>
    <mergeCell ref="G13:H13"/>
    <mergeCell ref="G18:H18"/>
    <mergeCell ref="G3:H3"/>
    <mergeCell ref="G34:H34"/>
    <mergeCell ref="G30:H30"/>
    <mergeCell ref="G24:H24"/>
    <mergeCell ref="G15:H15"/>
    <mergeCell ref="G33:H33"/>
    <mergeCell ref="G5:H5"/>
    <mergeCell ref="G14:H14"/>
    <mergeCell ref="G26:H26"/>
    <mergeCell ref="G35:H35"/>
    <mergeCell ref="G29:H29"/>
    <mergeCell ref="G4:H4"/>
    <mergeCell ref="G20:H20"/>
    <mergeCell ref="G16:H16"/>
    <mergeCell ref="G32:H32"/>
    <mergeCell ref="G25:H25"/>
    <mergeCell ref="G41:H41"/>
    <mergeCell ref="G31:H31"/>
    <mergeCell ref="G40:H40"/>
    <mergeCell ref="G9:H9"/>
  </mergeCells>
  <conditionalFormatting sqref="I2:I4">
    <cfRule type="cellIs" priority="10" operator="greaterThan" dxfId="8">
      <formula>1023.37</formula>
    </cfRule>
    <cfRule type="cellIs" priority="11" operator="lessThan" dxfId="7">
      <formula>7.5</formula>
    </cfRule>
  </conditionalFormatting>
  <conditionalFormatting sqref="I11:I13">
    <cfRule type="cellIs" priority="13" operator="lessThan" dxfId="2">
      <formula>0.9</formula>
    </cfRule>
  </conditionalFormatting>
  <conditionalFormatting sqref="I14">
    <cfRule type="cellIs" priority="12" operator="greaterThan" dxfId="2">
      <formula>15</formula>
    </cfRule>
  </conditionalFormatting>
  <conditionalFormatting sqref="I24:I26">
    <cfRule type="cellIs" priority="3" operator="greaterThan" dxfId="8">
      <formula>1023.37</formula>
    </cfRule>
    <cfRule type="cellIs" priority="4" operator="lessThan" dxfId="7">
      <formula>7.5</formula>
    </cfRule>
  </conditionalFormatting>
  <conditionalFormatting sqref="I33:I35">
    <cfRule type="cellIs" priority="6" operator="lessThan" dxfId="2">
      <formula>0.9</formula>
    </cfRule>
  </conditionalFormatting>
  <conditionalFormatting sqref="I36">
    <cfRule type="cellIs" priority="5" operator="greaterThan" dxfId="2">
      <formula>15</formula>
    </cfRule>
  </conditionalFormatting>
  <conditionalFormatting sqref="K7:L7">
    <cfRule type="cellIs" priority="8" operator="greaterThan" dxfId="2">
      <formula>80</formula>
    </cfRule>
  </conditionalFormatting>
  <conditionalFormatting sqref="K29:L29">
    <cfRule type="cellIs" priority="1" operator="greaterThan" dxfId="2">
      <formula>80</formula>
    </cfRule>
  </conditionalFormatting>
  <conditionalFormatting sqref="M3 M7">
    <cfRule type="cellIs" priority="9" operator="notBetween" dxfId="0">
      <formula>80</formula>
      <formula>120</formula>
    </cfRule>
  </conditionalFormatting>
  <conditionalFormatting sqref="M25 M29">
    <cfRule type="cellIs" priority="2" operator="notBetween" dxfId="0">
      <formula>80</formula>
      <formula>120</formula>
    </cfRule>
  </conditionalFormatting>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2026-01-21T12:13:38Z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0x01010088674AA41ADB94489B299D597412080F</vt:lpwstr>
  </property>
</Properties>
</file>