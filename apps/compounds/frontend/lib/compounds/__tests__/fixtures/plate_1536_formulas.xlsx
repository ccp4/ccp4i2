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40" yWindow="1050" windowWidth="25185" windowHeight="14445"/>
  </bookViews>
  <sheets>
    <sheet sheetId="1" name="Microplate End point" state="visible" r:id="rId4"/>
  </sheets>
  <calcPr calcId="171027"/>
</workbook>
</file>

<file path=xl/sharedStrings.xml><?xml version="1.0" encoding="utf-8"?>
<sst xmlns="http://schemas.openxmlformats.org/spreadsheetml/2006/main" count="108" uniqueCount="60">
  <si>
    <t>User: USER</t>
  </si>
  <si>
    <t>Path: C:\Program Files (x86)\BMG\PHERAstar\User\Data</t>
  </si>
  <si>
    <t>Test ID: 7105</t>
  </si>
  <si>
    <t>Test Name: JWFI1536 phosphosens endpoint</t>
  </si>
  <si>
    <t>Date: 06/02/2026</t>
  </si>
  <si>
    <t>Time: 16:44:30</t>
  </si>
  <si>
    <t>ID1: 260206_4D1_phoshosense1536_16cmpds</t>
  </si>
  <si>
    <t>Z'=0.597</t>
  </si>
  <si>
    <t>ID2: run2_120min</t>
  </si>
  <si>
    <t>ID3: gain 108</t>
  </si>
  <si>
    <t>Fluorescence (FI)</t>
  </si>
  <si>
    <t>Raw Data (360/490)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</si>
  <si>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</si>
  <si>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</si>
  <si>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</si>
  <si>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</si>
  <si>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</si>
  <si>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</si>
  <si>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</si>
  <si>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</si>
  <si>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</si>
  <si>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</si>
  <si>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</si>
  <si>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</si>
  <si>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</si>
  <si>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</si>
  <si>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</si>
  <si>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</si>
  <si>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</si>
  <si>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</si>
  <si>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</si>
  <si>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</si>
  <si>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</si>
  <si>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</si>
  <si>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</si>
  <si>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</si>
  <si>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</si>
  <si>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</si>
  <si>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</si>
  <si>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</si>
  <si>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</si>
  <si>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</si>
  <si>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</si>
  <si>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</si>
  <si>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CPD-00000001</t>
  </si>
  <si>
    <t>CPD-00000002</t>
  </si>
  <si>
    <t>CPD-00000003</t>
  </si>
  <si>
    <t>CPD-00000004</t>
  </si>
  <si>
    <t>CPD-00000005</t>
  </si>
  <si>
    <t>CPD-00000006</t>
  </si>
  <si>
    <t>CPD-00000007</t>
  </si>
  <si>
    <t>CPD-00000008</t>
  </si>
  <si>
    <t>CPD-00000009</t>
  </si>
  <si>
    <t>CPD-00000010</t>
  </si>
  <si>
    <t>CPD-00000011</t>
  </si>
  <si>
    <t>CPD-00000012</t>
  </si>
  <si>
    <t>CPD-00000013</t>
  </si>
  <si>
    <t>CPD-00000014</t>
  </si>
  <si>
    <t>CPD-00000015</t>
  </si>
  <si>
    <t>CPD-00000016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</si>
</sst>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3"/>
  <sheetViews>
    <sheetView workbookViewId="0" zoomScale="50" zoomScaleNormal="50">
      <selection activeCell="AI68" sqref="AI68"/>
    </sheetView>
  </sheetViews>
  <sheetFormatPr defaultRowHeight="15" outlineLevelRow="0" outlineLevelCol="0" x14ac:dyDescent="0.25" defaultColWidth="8.85546875"/>
  <cols>
    <col min="1" max="1" width="4.28515625" customWidth="1"/>
  </cols>
  <sheetData>
    <row r="1" spans="1:49" x14ac:dyDescent="0.25"/>
    <row r="2" spans="1:49" x14ac:dyDescent="0.25"/>
    <row r="3" spans="1:49" x14ac:dyDescent="0.25">
      <c r="A3" t="s">
        <v>0</v>
      </c>
    </row>
    <row r="4" spans="1:49" x14ac:dyDescent="0.25">
      <c r="A4" t="s">
        <v>1</v>
      </c>
    </row>
    <row r="5" spans="1:49" x14ac:dyDescent="0.25">
      <c r="A5" t="s">
        <v>2</v>
      </c>
    </row>
    <row r="6" spans="1:49" x14ac:dyDescent="0.25">
      <c r="A6" t="s">
        <v>3</v>
      </c>
    </row>
    <row r="7" spans="1:49" x14ac:dyDescent="0.25">
      <c r="A7" t="s">
        <v>4</v>
      </c>
    </row>
    <row r="8" spans="1:49" x14ac:dyDescent="0.25">
      <c r="A8" t="s">
        <v>5</v>
      </c>
    </row>
    <row r="9" spans="1:49" x14ac:dyDescent="0.25">
      <c r="A9" t="s">
        <v>6</v>
      </c>
      <c r="J9" t="s">
        <v>7</v>
      </c>
    </row>
    <row r="10" spans="1:49" x14ac:dyDescent="0.25">
      <c r="A10" t="s">
        <v>8</v>
      </c>
    </row>
    <row r="11" spans="1:49" x14ac:dyDescent="0.25">
      <c r="A11" t="s">
        <v>9</v>
      </c>
    </row>
    <row r="12" spans="1:49" x14ac:dyDescent="0.25">
      <c r="A12" t="s">
        <v>10</v>
      </c>
    </row>
    <row r="13" spans="1:49" x14ac:dyDescent="0.25"/>
    <row r="14" spans="1:49" x14ac:dyDescent="0.25"/>
    <row r="15" spans="1:49" x14ac:dyDescent="0.25"/>
    <row r="16" spans="1:49" x14ac:dyDescent="0.25">
      <c r="B16" t="s">
        <v>11</v>
      </c>
    </row>
    <row r="17" spans="1:49" x14ac:dyDescent="0.25"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  <c r="N17" s="1">
        <v>13</v>
      </c>
      <c r="O17" s="1">
        <v>14</v>
      </c>
      <c r="P17" s="1">
        <v>15</v>
      </c>
      <c r="Q17" s="1">
        <v>16</v>
      </c>
      <c r="R17" s="1">
        <v>17</v>
      </c>
      <c r="S17" s="1">
        <v>18</v>
      </c>
      <c r="T17" s="1">
        <v>19</v>
      </c>
      <c r="U17" s="1">
        <v>20</v>
      </c>
      <c r="V17" s="1">
        <v>21</v>
      </c>
      <c r="W17" s="1">
        <v>22</v>
      </c>
      <c r="X17" s="1">
        <v>23</v>
      </c>
      <c r="Y17" s="1">
        <v>24</v>
      </c>
      <c r="Z17" s="1">
        <v>25</v>
      </c>
      <c r="AA17" s="1">
        <v>26</v>
      </c>
      <c r="AB17" s="1">
        <v>27</v>
      </c>
      <c r="AC17" s="1">
        <v>28</v>
      </c>
      <c r="AD17" s="1">
        <v>29</v>
      </c>
      <c r="AE17" s="1">
        <v>30</v>
      </c>
      <c r="AF17" s="1">
        <v>31</v>
      </c>
      <c r="AG17" s="1">
        <v>32</v>
      </c>
      <c r="AH17" s="1">
        <v>33</v>
      </c>
      <c r="AI17" s="1">
        <v>34</v>
      </c>
      <c r="AJ17" s="1">
        <v>35</v>
      </c>
      <c r="AK17" s="1">
        <v>36</v>
      </c>
      <c r="AL17" s="1">
        <v>37</v>
      </c>
      <c r="AM17" s="1">
        <v>38</v>
      </c>
      <c r="AN17" s="1">
        <v>39</v>
      </c>
      <c r="AO17" s="1">
        <v>40</v>
      </c>
      <c r="AP17" s="1">
        <v>41</v>
      </c>
      <c r="AQ17" s="1">
        <v>42</v>
      </c>
      <c r="AR17" s="1">
        <v>43</v>
      </c>
      <c r="AS17" s="1">
        <v>44</v>
      </c>
      <c r="AT17" s="1">
        <v>45</v>
      </c>
      <c r="AU17" s="1">
        <v>46</v>
      </c>
      <c r="AV17" s="1">
        <v>47</v>
      </c>
      <c r="AW17" s="1">
        <v>48</v>
      </c>
    </row>
    <row r="18" spans="1:49" x14ac:dyDescent="0.25">
      <c r="A18" s="1" t="s">
        <v>12</v>
      </c>
      <c r="B18" s="2">
        <v>5015</v>
      </c>
      <c r="C18" s="3">
        <v>6179</v>
      </c>
      <c r="D18" s="3">
        <v>4594</v>
      </c>
      <c r="E18" s="3">
        <v>4682</v>
      </c>
      <c r="F18" s="3">
        <v>4407</v>
      </c>
      <c r="G18" s="3">
        <v>4336</v>
      </c>
      <c r="H18" s="3">
        <v>4603</v>
      </c>
      <c r="I18" s="3">
        <v>4480</v>
      </c>
      <c r="J18" s="3">
        <v>4301</v>
      </c>
      <c r="K18" s="3">
        <v>4465</v>
      </c>
      <c r="L18" s="3">
        <v>4505</v>
      </c>
      <c r="M18" s="3">
        <v>4279</v>
      </c>
      <c r="N18" s="3">
        <v>15215</v>
      </c>
      <c r="O18" s="3">
        <v>5970</v>
      </c>
      <c r="P18" s="3">
        <v>4782</v>
      </c>
      <c r="Q18" s="3">
        <v>4794</v>
      </c>
      <c r="R18" s="3">
        <v>4831</v>
      </c>
      <c r="S18" s="3">
        <v>4853</v>
      </c>
      <c r="T18" s="3">
        <v>5648</v>
      </c>
      <c r="U18" s="3">
        <v>7132</v>
      </c>
      <c r="V18" s="3">
        <v>9188</v>
      </c>
      <c r="W18" s="3">
        <v>12949</v>
      </c>
      <c r="X18" s="3">
        <v>14042</v>
      </c>
      <c r="Y18" s="3">
        <v>13795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4"/>
    </row>
    <row r="19" spans="1:49" x14ac:dyDescent="0.25">
      <c r="A19" s="1" t="s">
        <v>13</v>
      </c>
      <c r="B19" s="5">
        <v>4622</v>
      </c>
      <c r="C19" s="6">
        <v>5885</v>
      </c>
      <c r="D19" s="6">
        <v>4886</v>
      </c>
      <c r="E19" s="6">
        <v>4558</v>
      </c>
      <c r="F19" s="6">
        <v>4426</v>
      </c>
      <c r="G19" s="6">
        <v>4289</v>
      </c>
      <c r="H19" s="6">
        <v>4344</v>
      </c>
      <c r="I19" s="6">
        <v>4307</v>
      </c>
      <c r="J19" s="6">
        <v>4236</v>
      </c>
      <c r="K19" s="6">
        <v>4277</v>
      </c>
      <c r="L19" s="6">
        <v>4354</v>
      </c>
      <c r="M19" s="6">
        <v>4195</v>
      </c>
      <c r="N19" s="6">
        <v>14509</v>
      </c>
      <c r="O19" s="6">
        <v>5859</v>
      </c>
      <c r="P19" s="6">
        <v>4855</v>
      </c>
      <c r="Q19" s="6">
        <v>4681</v>
      </c>
      <c r="R19" s="6">
        <v>4598</v>
      </c>
      <c r="S19" s="6">
        <v>4597</v>
      </c>
      <c r="T19" s="6">
        <v>5415</v>
      </c>
      <c r="U19" s="6">
        <v>7072</v>
      </c>
      <c r="V19" s="6">
        <v>9119</v>
      </c>
      <c r="W19" s="6">
        <v>12255</v>
      </c>
      <c r="X19" s="6">
        <v>13350</v>
      </c>
      <c r="Y19" s="6">
        <v>13793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7"/>
    </row>
    <row r="20" spans="1:49" x14ac:dyDescent="0.25">
      <c r="A20" s="1" t="s">
        <v>14</v>
      </c>
      <c r="B20" s="5">
        <v>4105</v>
      </c>
      <c r="C20" s="6">
        <v>20491</v>
      </c>
      <c r="D20" s="6">
        <v>10571</v>
      </c>
      <c r="E20" s="6">
        <v>6400</v>
      </c>
      <c r="F20" s="6">
        <v>5090</v>
      </c>
      <c r="G20" s="6">
        <v>4450</v>
      </c>
      <c r="H20" s="6">
        <v>4444</v>
      </c>
      <c r="I20" s="6">
        <v>4484</v>
      </c>
      <c r="J20" s="6">
        <v>4177</v>
      </c>
      <c r="K20" s="6">
        <v>4387</v>
      </c>
      <c r="L20" s="6">
        <v>4354</v>
      </c>
      <c r="M20" s="6">
        <v>4201</v>
      </c>
      <c r="N20" s="6">
        <v>14815</v>
      </c>
      <c r="O20" s="6">
        <v>25078</v>
      </c>
      <c r="P20" s="6">
        <v>15866</v>
      </c>
      <c r="Q20" s="6">
        <v>15183</v>
      </c>
      <c r="R20" s="6">
        <v>15222</v>
      </c>
      <c r="S20" s="6">
        <v>14211</v>
      </c>
      <c r="T20" s="6">
        <v>15155</v>
      </c>
      <c r="U20" s="6">
        <v>15238</v>
      </c>
      <c r="V20" s="6">
        <v>14033</v>
      </c>
      <c r="W20" s="6">
        <v>14925</v>
      </c>
      <c r="X20" s="6">
        <v>14201</v>
      </c>
      <c r="Y20" s="6">
        <v>13576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7"/>
    </row>
    <row r="21" spans="1:49" x14ac:dyDescent="0.25">
      <c r="A21" s="1" t="s">
        <v>15</v>
      </c>
      <c r="B21" s="5">
        <v>4694</v>
      </c>
      <c r="C21" s="6">
        <v>20759</v>
      </c>
      <c r="D21" s="6">
        <v>10899</v>
      </c>
      <c r="E21" s="6">
        <v>6476</v>
      </c>
      <c r="F21" s="6">
        <v>5008</v>
      </c>
      <c r="G21" s="6">
        <v>4388</v>
      </c>
      <c r="H21" s="6">
        <v>4468</v>
      </c>
      <c r="I21" s="6">
        <v>4358</v>
      </c>
      <c r="J21" s="6">
        <v>4016</v>
      </c>
      <c r="K21" s="6">
        <v>4148</v>
      </c>
      <c r="L21" s="6">
        <v>4170</v>
      </c>
      <c r="M21" s="6">
        <v>4021</v>
      </c>
      <c r="N21" s="6">
        <v>13988</v>
      </c>
      <c r="O21" s="6">
        <v>24274</v>
      </c>
      <c r="P21" s="6">
        <v>15430</v>
      </c>
      <c r="Q21" s="6">
        <v>14686</v>
      </c>
      <c r="R21" s="6">
        <v>14339</v>
      </c>
      <c r="S21" s="6">
        <v>13773</v>
      </c>
      <c r="T21" s="6">
        <v>15090</v>
      </c>
      <c r="U21" s="6">
        <v>13918</v>
      </c>
      <c r="V21" s="6">
        <v>13106</v>
      </c>
      <c r="W21" s="6">
        <v>13856</v>
      </c>
      <c r="X21" s="6">
        <v>14369</v>
      </c>
      <c r="Y21" s="6">
        <v>13322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7"/>
    </row>
    <row r="22" spans="1:49" x14ac:dyDescent="0.25">
      <c r="A22" s="1" t="s">
        <v>16</v>
      </c>
      <c r="B22" s="5">
        <v>4497</v>
      </c>
      <c r="C22" s="6">
        <v>17113</v>
      </c>
      <c r="D22" s="6">
        <v>9128</v>
      </c>
      <c r="E22" s="6">
        <v>6097</v>
      </c>
      <c r="F22" s="6">
        <v>5088</v>
      </c>
      <c r="G22" s="6">
        <v>4445</v>
      </c>
      <c r="H22" s="6">
        <v>4084</v>
      </c>
      <c r="I22" s="6">
        <v>4157</v>
      </c>
      <c r="J22" s="6">
        <v>4239</v>
      </c>
      <c r="K22" s="6">
        <v>3939</v>
      </c>
      <c r="L22" s="6">
        <v>4325</v>
      </c>
      <c r="M22" s="6">
        <v>4278</v>
      </c>
      <c r="N22" s="6">
        <v>14890</v>
      </c>
      <c r="O22" s="6">
        <v>15132</v>
      </c>
      <c r="P22" s="6">
        <v>10122</v>
      </c>
      <c r="Q22" s="6">
        <v>9123</v>
      </c>
      <c r="R22" s="6">
        <v>10087</v>
      </c>
      <c r="S22" s="6">
        <v>11676</v>
      </c>
      <c r="T22" s="6">
        <v>14396</v>
      </c>
      <c r="U22" s="6">
        <v>14359</v>
      </c>
      <c r="V22" s="6">
        <v>13952</v>
      </c>
      <c r="W22" s="6">
        <v>14794</v>
      </c>
      <c r="X22" s="6">
        <v>14870</v>
      </c>
      <c r="Y22" s="6">
        <v>13676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7"/>
    </row>
    <row r="23" spans="1:49" x14ac:dyDescent="0.25">
      <c r="A23" s="1" t="s">
        <v>17</v>
      </c>
      <c r="B23" s="5">
        <v>4570</v>
      </c>
      <c r="C23" s="6">
        <v>16282</v>
      </c>
      <c r="D23" s="6">
        <v>8934</v>
      </c>
      <c r="E23" s="6">
        <v>6107</v>
      </c>
      <c r="F23" s="6">
        <v>4896</v>
      </c>
      <c r="G23" s="6">
        <v>4361</v>
      </c>
      <c r="H23" s="6">
        <v>4044</v>
      </c>
      <c r="I23" s="6">
        <v>4288</v>
      </c>
      <c r="J23" s="6">
        <v>3968</v>
      </c>
      <c r="K23" s="6">
        <v>4077</v>
      </c>
      <c r="L23" s="6">
        <v>4015</v>
      </c>
      <c r="M23" s="6">
        <v>4023</v>
      </c>
      <c r="N23" s="6">
        <v>14292</v>
      </c>
      <c r="O23" s="6">
        <v>15853</v>
      </c>
      <c r="P23" s="6">
        <v>10202</v>
      </c>
      <c r="Q23" s="6">
        <v>8584</v>
      </c>
      <c r="R23" s="6">
        <v>9985</v>
      </c>
      <c r="S23" s="6">
        <v>11555</v>
      </c>
      <c r="T23" s="6">
        <v>13715</v>
      </c>
      <c r="U23" s="6">
        <v>13845</v>
      </c>
      <c r="V23" s="6">
        <v>13049</v>
      </c>
      <c r="W23" s="6">
        <v>14155</v>
      </c>
      <c r="X23" s="6">
        <v>13871</v>
      </c>
      <c r="Y23" s="6">
        <v>12782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7"/>
    </row>
    <row r="24" spans="1:49" x14ac:dyDescent="0.25">
      <c r="A24" s="1" t="s">
        <v>18</v>
      </c>
      <c r="B24" s="5">
        <v>4931</v>
      </c>
      <c r="C24" s="6">
        <v>10577</v>
      </c>
      <c r="D24" s="6">
        <v>7689</v>
      </c>
      <c r="E24" s="6">
        <v>5652</v>
      </c>
      <c r="F24" s="6">
        <v>5346</v>
      </c>
      <c r="G24" s="6">
        <v>4570</v>
      </c>
      <c r="H24" s="6">
        <v>3932</v>
      </c>
      <c r="I24" s="6">
        <v>4592</v>
      </c>
      <c r="J24" s="6">
        <v>4156</v>
      </c>
      <c r="K24" s="6">
        <v>3795</v>
      </c>
      <c r="L24" s="6">
        <v>4189</v>
      </c>
      <c r="M24" s="6">
        <v>5068</v>
      </c>
      <c r="N24" s="6">
        <v>14676</v>
      </c>
      <c r="O24" s="6">
        <v>11869</v>
      </c>
      <c r="P24" s="6">
        <v>8950</v>
      </c>
      <c r="Q24" s="6">
        <v>10501</v>
      </c>
      <c r="R24" s="6">
        <v>12362</v>
      </c>
      <c r="S24" s="6">
        <v>14256</v>
      </c>
      <c r="T24" s="6">
        <v>14712</v>
      </c>
      <c r="U24" s="6">
        <v>14983</v>
      </c>
      <c r="V24" s="6">
        <v>14746</v>
      </c>
      <c r="W24" s="6">
        <v>14165</v>
      </c>
      <c r="X24" s="6">
        <v>14413</v>
      </c>
      <c r="Y24" s="6">
        <v>13249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7"/>
    </row>
    <row r="25" spans="1:49" x14ac:dyDescent="0.25">
      <c r="A25" s="1" t="s">
        <v>19</v>
      </c>
      <c r="B25" s="5">
        <v>4223</v>
      </c>
      <c r="C25" s="6">
        <v>10814</v>
      </c>
      <c r="D25" s="6">
        <v>7377</v>
      </c>
      <c r="E25" s="6">
        <v>5381</v>
      </c>
      <c r="F25" s="6">
        <v>4883</v>
      </c>
      <c r="G25" s="6">
        <v>4287</v>
      </c>
      <c r="H25" s="6">
        <v>4064</v>
      </c>
      <c r="I25" s="6">
        <v>4343</v>
      </c>
      <c r="J25" s="6">
        <v>4148</v>
      </c>
      <c r="K25" s="6">
        <v>4070</v>
      </c>
      <c r="L25" s="6">
        <v>4238</v>
      </c>
      <c r="M25" s="6">
        <v>3744</v>
      </c>
      <c r="N25" s="6">
        <v>14356</v>
      </c>
      <c r="O25" s="6">
        <v>12147</v>
      </c>
      <c r="P25" s="6">
        <v>9020</v>
      </c>
      <c r="Q25" s="6">
        <v>10186</v>
      </c>
      <c r="R25" s="6">
        <v>11609</v>
      </c>
      <c r="S25" s="6">
        <v>12909</v>
      </c>
      <c r="T25" s="6">
        <v>14505</v>
      </c>
      <c r="U25" s="6">
        <v>14319</v>
      </c>
      <c r="V25" s="6">
        <v>13238</v>
      </c>
      <c r="W25" s="6">
        <v>16077</v>
      </c>
      <c r="X25" s="6">
        <v>13780</v>
      </c>
      <c r="Y25" s="6">
        <v>13157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7"/>
    </row>
    <row r="26" spans="1:49" x14ac:dyDescent="0.25">
      <c r="A26" s="1" t="s">
        <v>20</v>
      </c>
      <c r="B26" s="5">
        <v>4378</v>
      </c>
      <c r="C26" s="6">
        <v>5816</v>
      </c>
      <c r="D26" s="6">
        <v>4750</v>
      </c>
      <c r="E26" s="6">
        <v>4571</v>
      </c>
      <c r="F26" s="6">
        <v>4375</v>
      </c>
      <c r="G26" s="6">
        <v>4650</v>
      </c>
      <c r="H26" s="6">
        <v>4484</v>
      </c>
      <c r="I26" s="6">
        <v>4226</v>
      </c>
      <c r="J26" s="6">
        <v>4588</v>
      </c>
      <c r="K26" s="6">
        <v>4418</v>
      </c>
      <c r="L26" s="6">
        <v>4243</v>
      </c>
      <c r="M26" s="6">
        <v>4558</v>
      </c>
      <c r="N26" s="6">
        <v>15703</v>
      </c>
      <c r="O26" s="6">
        <v>10780</v>
      </c>
      <c r="P26" s="6">
        <v>10320</v>
      </c>
      <c r="Q26" s="6">
        <v>13496</v>
      </c>
      <c r="R26" s="6">
        <v>15020</v>
      </c>
      <c r="S26" s="6">
        <v>14343</v>
      </c>
      <c r="T26" s="6">
        <v>16042</v>
      </c>
      <c r="U26" s="6">
        <v>15775</v>
      </c>
      <c r="V26" s="6">
        <v>13377</v>
      </c>
      <c r="W26" s="6">
        <v>14877</v>
      </c>
      <c r="X26" s="6">
        <v>14642</v>
      </c>
      <c r="Y26" s="6">
        <v>13336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7"/>
    </row>
    <row r="27" spans="1:49" x14ac:dyDescent="0.25">
      <c r="A27" s="1" t="s">
        <v>21</v>
      </c>
      <c r="B27" s="5">
        <v>4666</v>
      </c>
      <c r="C27" s="6">
        <v>4935</v>
      </c>
      <c r="D27" s="6">
        <v>4938</v>
      </c>
      <c r="E27" s="6">
        <v>4528</v>
      </c>
      <c r="F27" s="6">
        <v>4202</v>
      </c>
      <c r="G27" s="6">
        <v>4264</v>
      </c>
      <c r="H27" s="6">
        <v>4371</v>
      </c>
      <c r="I27" s="6">
        <v>4311</v>
      </c>
      <c r="J27" s="6">
        <v>3932</v>
      </c>
      <c r="K27" s="6">
        <v>4370</v>
      </c>
      <c r="L27" s="6">
        <v>3831</v>
      </c>
      <c r="M27" s="6">
        <v>4445</v>
      </c>
      <c r="N27" s="6">
        <v>13878</v>
      </c>
      <c r="O27" s="6">
        <v>9970</v>
      </c>
      <c r="P27" s="6">
        <v>10715</v>
      </c>
      <c r="Q27" s="6">
        <v>13646</v>
      </c>
      <c r="R27" s="6">
        <v>13403</v>
      </c>
      <c r="S27" s="6">
        <v>13450</v>
      </c>
      <c r="T27" s="6">
        <v>14003</v>
      </c>
      <c r="U27" s="6">
        <v>13561</v>
      </c>
      <c r="V27" s="6">
        <v>12991</v>
      </c>
      <c r="W27" s="6">
        <v>13394</v>
      </c>
      <c r="X27" s="6">
        <v>13460</v>
      </c>
      <c r="Y27" s="6">
        <v>12937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7"/>
    </row>
    <row r="28" spans="1:49" x14ac:dyDescent="0.25">
      <c r="A28" s="1" t="s">
        <v>22</v>
      </c>
      <c r="B28" s="5">
        <v>4154</v>
      </c>
      <c r="C28" s="6">
        <v>97864</v>
      </c>
      <c r="D28" s="6">
        <v>43763</v>
      </c>
      <c r="E28" s="6">
        <v>13623</v>
      </c>
      <c r="F28" s="6">
        <v>6276</v>
      </c>
      <c r="G28" s="6">
        <v>4882</v>
      </c>
      <c r="H28" s="6">
        <v>4227</v>
      </c>
      <c r="I28" s="6">
        <v>4116</v>
      </c>
      <c r="J28" s="6">
        <v>4704</v>
      </c>
      <c r="K28" s="6">
        <v>3687</v>
      </c>
      <c r="L28" s="6">
        <v>4695</v>
      </c>
      <c r="M28" s="6">
        <v>4675</v>
      </c>
      <c r="N28" s="6">
        <v>16790</v>
      </c>
      <c r="O28" s="6">
        <v>123364</v>
      </c>
      <c r="P28" s="6">
        <v>49691</v>
      </c>
      <c r="Q28" s="6">
        <v>17662</v>
      </c>
      <c r="R28" s="6">
        <v>13326</v>
      </c>
      <c r="S28" s="6">
        <v>13773</v>
      </c>
      <c r="T28" s="6">
        <v>13987</v>
      </c>
      <c r="U28" s="6">
        <v>15981</v>
      </c>
      <c r="V28" s="6">
        <v>15272</v>
      </c>
      <c r="W28" s="6">
        <v>14132</v>
      </c>
      <c r="X28" s="6">
        <v>15035</v>
      </c>
      <c r="Y28" s="6">
        <v>13801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7"/>
    </row>
    <row r="29" spans="1:49" x14ac:dyDescent="0.25">
      <c r="A29" s="1" t="s">
        <v>23</v>
      </c>
      <c r="B29" s="5">
        <v>4729</v>
      </c>
      <c r="C29" s="6">
        <v>118486</v>
      </c>
      <c r="D29" s="6">
        <v>54775</v>
      </c>
      <c r="E29" s="6">
        <v>14032</v>
      </c>
      <c r="F29" s="6">
        <v>6211</v>
      </c>
      <c r="G29" s="6">
        <v>4540</v>
      </c>
      <c r="H29" s="6">
        <v>4427</v>
      </c>
      <c r="I29" s="6">
        <v>4022</v>
      </c>
      <c r="J29" s="6">
        <v>4321</v>
      </c>
      <c r="K29" s="6">
        <v>4417</v>
      </c>
      <c r="L29" s="6">
        <v>4037</v>
      </c>
      <c r="M29" s="6">
        <v>4296</v>
      </c>
      <c r="N29" s="6">
        <v>14357</v>
      </c>
      <c r="O29" s="6">
        <v>70600</v>
      </c>
      <c r="P29" s="6">
        <v>37973</v>
      </c>
      <c r="Q29" s="6">
        <v>17195</v>
      </c>
      <c r="R29" s="6">
        <v>12788</v>
      </c>
      <c r="S29" s="6">
        <v>12534</v>
      </c>
      <c r="T29" s="6">
        <v>13766</v>
      </c>
      <c r="U29" s="6">
        <v>13869</v>
      </c>
      <c r="V29" s="6">
        <v>12972</v>
      </c>
      <c r="W29" s="6">
        <v>13792</v>
      </c>
      <c r="X29" s="6">
        <v>13529</v>
      </c>
      <c r="Y29" s="6">
        <v>13135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7"/>
    </row>
    <row r="30" spans="1:49" x14ac:dyDescent="0.25">
      <c r="A30" s="1" t="s">
        <v>24</v>
      </c>
      <c r="B30" s="5">
        <v>4385</v>
      </c>
      <c r="C30" s="6">
        <v>24159</v>
      </c>
      <c r="D30" s="6">
        <v>12048</v>
      </c>
      <c r="E30" s="6">
        <v>6716</v>
      </c>
      <c r="F30" s="6">
        <v>5156</v>
      </c>
      <c r="G30" s="6">
        <v>4474</v>
      </c>
      <c r="H30" s="6">
        <v>4389</v>
      </c>
      <c r="I30" s="6">
        <v>4025</v>
      </c>
      <c r="J30" s="6">
        <v>4348</v>
      </c>
      <c r="K30" s="6">
        <v>4492</v>
      </c>
      <c r="L30" s="6">
        <v>3970</v>
      </c>
      <c r="M30" s="6">
        <v>4437</v>
      </c>
      <c r="N30" s="6">
        <v>16645</v>
      </c>
      <c r="O30" s="6">
        <v>21302</v>
      </c>
      <c r="P30" s="6">
        <v>12754</v>
      </c>
      <c r="Q30" s="6">
        <v>11353</v>
      </c>
      <c r="R30" s="6">
        <v>12093</v>
      </c>
      <c r="S30" s="6">
        <v>12854</v>
      </c>
      <c r="T30" s="6">
        <v>15747</v>
      </c>
      <c r="U30" s="6">
        <v>13622</v>
      </c>
      <c r="V30" s="6">
        <v>13688</v>
      </c>
      <c r="W30" s="6">
        <v>14941</v>
      </c>
      <c r="X30" s="6">
        <v>13670</v>
      </c>
      <c r="Y30" s="6">
        <v>13128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7"/>
    </row>
    <row r="31" spans="1:49" x14ac:dyDescent="0.25">
      <c r="A31" s="1" t="s">
        <v>25</v>
      </c>
      <c r="B31" s="5">
        <v>4540</v>
      </c>
      <c r="C31" s="6">
        <v>23602</v>
      </c>
      <c r="D31" s="6">
        <v>12251</v>
      </c>
      <c r="E31" s="6">
        <v>6839</v>
      </c>
      <c r="F31" s="6">
        <v>5050</v>
      </c>
      <c r="G31" s="6">
        <v>4217</v>
      </c>
      <c r="H31" s="6">
        <v>4355</v>
      </c>
      <c r="I31" s="6">
        <v>4190</v>
      </c>
      <c r="J31" s="6">
        <v>4100</v>
      </c>
      <c r="K31" s="6">
        <v>3970</v>
      </c>
      <c r="L31" s="6">
        <v>4247</v>
      </c>
      <c r="M31" s="6">
        <v>4166</v>
      </c>
      <c r="N31" s="6">
        <v>14402</v>
      </c>
      <c r="O31" s="6">
        <v>21587</v>
      </c>
      <c r="P31" s="6">
        <v>12340</v>
      </c>
      <c r="Q31" s="6">
        <v>10298</v>
      </c>
      <c r="R31" s="6">
        <v>11195</v>
      </c>
      <c r="S31" s="6">
        <v>12148</v>
      </c>
      <c r="T31" s="6">
        <v>13663</v>
      </c>
      <c r="U31" s="6">
        <v>13238</v>
      </c>
      <c r="V31" s="6">
        <v>12747</v>
      </c>
      <c r="W31" s="6">
        <v>13185</v>
      </c>
      <c r="X31" s="6">
        <v>12949</v>
      </c>
      <c r="Y31" s="6">
        <v>13012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7"/>
    </row>
    <row r="32" spans="1:49" x14ac:dyDescent="0.25">
      <c r="A32" s="1" t="s">
        <v>26</v>
      </c>
      <c r="B32" s="5">
        <v>4930</v>
      </c>
      <c r="C32" s="6">
        <v>27735</v>
      </c>
      <c r="D32" s="6">
        <v>13819</v>
      </c>
      <c r="E32" s="6">
        <v>7507</v>
      </c>
      <c r="F32" s="6">
        <v>5508</v>
      </c>
      <c r="G32" s="6">
        <v>4589</v>
      </c>
      <c r="H32" s="6">
        <v>4582</v>
      </c>
      <c r="I32" s="6">
        <v>4276</v>
      </c>
      <c r="J32" s="6">
        <v>4376</v>
      </c>
      <c r="K32" s="6">
        <v>4486</v>
      </c>
      <c r="L32" s="6">
        <v>4271</v>
      </c>
      <c r="M32" s="6">
        <v>4334</v>
      </c>
      <c r="N32" s="6">
        <v>15068</v>
      </c>
      <c r="O32" s="6">
        <v>28384</v>
      </c>
      <c r="P32" s="6">
        <v>17620</v>
      </c>
      <c r="Q32" s="6">
        <v>14994</v>
      </c>
      <c r="R32" s="6">
        <v>13910</v>
      </c>
      <c r="S32" s="6">
        <v>13888</v>
      </c>
      <c r="T32" s="6">
        <v>15289</v>
      </c>
      <c r="U32" s="6">
        <v>14128</v>
      </c>
      <c r="V32" s="6">
        <v>13525</v>
      </c>
      <c r="W32" s="6">
        <v>13827</v>
      </c>
      <c r="X32" s="6">
        <v>13866</v>
      </c>
      <c r="Y32" s="6">
        <v>12775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7"/>
    </row>
    <row r="33" spans="1:49" x14ac:dyDescent="0.25">
      <c r="A33" s="1" t="s">
        <v>27</v>
      </c>
      <c r="B33" s="5">
        <v>4923</v>
      </c>
      <c r="C33" s="6">
        <v>28560</v>
      </c>
      <c r="D33" s="6">
        <v>13789</v>
      </c>
      <c r="E33" s="6">
        <v>7395</v>
      </c>
      <c r="F33" s="6">
        <v>4727</v>
      </c>
      <c r="G33" s="6">
        <v>4535</v>
      </c>
      <c r="H33" s="6">
        <v>4439</v>
      </c>
      <c r="I33" s="6">
        <v>4046</v>
      </c>
      <c r="J33" s="6">
        <v>4049</v>
      </c>
      <c r="K33" s="6">
        <v>4330</v>
      </c>
      <c r="L33" s="6">
        <v>4217</v>
      </c>
      <c r="M33" s="6">
        <v>4231</v>
      </c>
      <c r="N33" s="6">
        <v>13741</v>
      </c>
      <c r="O33" s="6">
        <v>27713</v>
      </c>
      <c r="P33" s="6">
        <v>16972</v>
      </c>
      <c r="Q33" s="6">
        <v>14070</v>
      </c>
      <c r="R33" s="6">
        <v>13255</v>
      </c>
      <c r="S33" s="6">
        <v>12890</v>
      </c>
      <c r="T33" s="6">
        <v>13640</v>
      </c>
      <c r="U33" s="6">
        <v>13622</v>
      </c>
      <c r="V33" s="6">
        <v>12747</v>
      </c>
      <c r="W33" s="6">
        <v>13105</v>
      </c>
      <c r="X33" s="6">
        <v>13631</v>
      </c>
      <c r="Y33" s="6">
        <v>12933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7"/>
    </row>
    <row r="34" spans="1:49" x14ac:dyDescent="0.25">
      <c r="A34" s="1" t="s">
        <v>28</v>
      </c>
      <c r="B34" s="5">
        <v>4764</v>
      </c>
      <c r="C34" s="6">
        <v>36136</v>
      </c>
      <c r="D34" s="6">
        <v>16939</v>
      </c>
      <c r="E34" s="6">
        <v>8496</v>
      </c>
      <c r="F34" s="6">
        <v>5850</v>
      </c>
      <c r="G34" s="6">
        <v>4882</v>
      </c>
      <c r="H34" s="6">
        <v>4339</v>
      </c>
      <c r="I34" s="6">
        <v>4405</v>
      </c>
      <c r="J34" s="6">
        <v>4291</v>
      </c>
      <c r="K34" s="6">
        <v>3964</v>
      </c>
      <c r="L34" s="6">
        <v>4256</v>
      </c>
      <c r="M34" s="6">
        <v>4354</v>
      </c>
      <c r="N34" s="6">
        <v>14664</v>
      </c>
      <c r="O34" s="6">
        <v>34352</v>
      </c>
      <c r="P34" s="6">
        <v>19734</v>
      </c>
      <c r="Q34" s="6">
        <v>15687</v>
      </c>
      <c r="R34" s="6">
        <v>14050</v>
      </c>
      <c r="S34" s="6">
        <v>13286</v>
      </c>
      <c r="T34" s="6">
        <v>14367</v>
      </c>
      <c r="U34" s="6">
        <v>13735</v>
      </c>
      <c r="V34" s="6">
        <v>13159</v>
      </c>
      <c r="W34" s="6">
        <v>13922</v>
      </c>
      <c r="X34" s="6">
        <v>13726</v>
      </c>
      <c r="Y34" s="6">
        <v>13062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7"/>
    </row>
    <row r="35" spans="1:49" x14ac:dyDescent="0.25">
      <c r="A35" s="1" t="s">
        <v>29</v>
      </c>
      <c r="B35" s="5">
        <v>4495</v>
      </c>
      <c r="C35" s="6">
        <v>37236</v>
      </c>
      <c r="D35" s="6">
        <v>17797</v>
      </c>
      <c r="E35" s="6">
        <v>8286</v>
      </c>
      <c r="F35" s="6">
        <v>6012</v>
      </c>
      <c r="G35" s="6">
        <v>4749</v>
      </c>
      <c r="H35" s="6">
        <v>4142</v>
      </c>
      <c r="I35" s="6">
        <v>4342</v>
      </c>
      <c r="J35" s="6">
        <v>4274</v>
      </c>
      <c r="K35" s="6">
        <v>3822</v>
      </c>
      <c r="L35" s="6">
        <v>4068</v>
      </c>
      <c r="M35" s="6">
        <v>4277</v>
      </c>
      <c r="N35" s="6">
        <v>13712</v>
      </c>
      <c r="O35" s="6">
        <v>33651</v>
      </c>
      <c r="P35" s="6">
        <v>19162</v>
      </c>
      <c r="Q35" s="6">
        <v>14655</v>
      </c>
      <c r="R35" s="6">
        <v>13564</v>
      </c>
      <c r="S35" s="6">
        <v>12910</v>
      </c>
      <c r="T35" s="6">
        <v>13727</v>
      </c>
      <c r="U35" s="6">
        <v>13424</v>
      </c>
      <c r="V35" s="6">
        <v>12891</v>
      </c>
      <c r="W35" s="6">
        <v>13315</v>
      </c>
      <c r="X35" s="6">
        <v>13088</v>
      </c>
      <c r="Y35" s="6">
        <v>12743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7"/>
    </row>
    <row r="36" spans="1:49" x14ac:dyDescent="0.25">
      <c r="A36" s="1" t="s">
        <v>30</v>
      </c>
      <c r="B36" s="5">
        <v>4941</v>
      </c>
      <c r="C36" s="6">
        <v>36683</v>
      </c>
      <c r="D36" s="6">
        <v>18085</v>
      </c>
      <c r="E36" s="6">
        <v>8462</v>
      </c>
      <c r="F36" s="6">
        <v>6237</v>
      </c>
      <c r="G36" s="6">
        <v>5212</v>
      </c>
      <c r="H36" s="6">
        <v>4503</v>
      </c>
      <c r="I36" s="6">
        <v>4764</v>
      </c>
      <c r="J36" s="6">
        <v>4364</v>
      </c>
      <c r="K36" s="6">
        <v>5678</v>
      </c>
      <c r="L36" s="6">
        <v>4437</v>
      </c>
      <c r="M36" s="6">
        <v>4573</v>
      </c>
      <c r="N36" s="6">
        <v>14855</v>
      </c>
      <c r="O36" s="6">
        <v>30122</v>
      </c>
      <c r="P36" s="6">
        <v>15315</v>
      </c>
      <c r="Q36" s="6">
        <v>8028</v>
      </c>
      <c r="R36" s="6">
        <v>6169</v>
      </c>
      <c r="S36" s="6">
        <v>6466</v>
      </c>
      <c r="T36" s="6">
        <v>9426</v>
      </c>
      <c r="U36" s="6">
        <v>11904</v>
      </c>
      <c r="V36" s="6">
        <v>12720</v>
      </c>
      <c r="W36" s="6">
        <v>13664</v>
      </c>
      <c r="X36" s="6">
        <v>13574</v>
      </c>
      <c r="Y36" s="6">
        <v>13215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7"/>
    </row>
    <row r="37" spans="1:49" x14ac:dyDescent="0.25">
      <c r="A37" s="1" t="s">
        <v>31</v>
      </c>
      <c r="B37" s="5">
        <v>4736</v>
      </c>
      <c r="C37" s="6">
        <v>35100</v>
      </c>
      <c r="D37" s="6">
        <v>17244</v>
      </c>
      <c r="E37" s="6">
        <v>8113</v>
      </c>
      <c r="F37" s="6">
        <v>5631</v>
      </c>
      <c r="G37" s="6">
        <v>4898</v>
      </c>
      <c r="H37" s="6">
        <v>4193</v>
      </c>
      <c r="I37" s="6">
        <v>4458</v>
      </c>
      <c r="J37" s="6">
        <v>4368</v>
      </c>
      <c r="K37" s="6">
        <v>3964</v>
      </c>
      <c r="L37" s="6">
        <v>4224</v>
      </c>
      <c r="M37" s="6">
        <v>4204</v>
      </c>
      <c r="N37" s="6">
        <v>13984</v>
      </c>
      <c r="O37" s="6">
        <v>29894</v>
      </c>
      <c r="P37" s="6">
        <v>15026</v>
      </c>
      <c r="Q37" s="6">
        <v>7875</v>
      </c>
      <c r="R37" s="6">
        <v>6189</v>
      </c>
      <c r="S37" s="6">
        <v>6299</v>
      </c>
      <c r="T37" s="6">
        <v>9110</v>
      </c>
      <c r="U37" s="6">
        <v>11093</v>
      </c>
      <c r="V37" s="6">
        <v>11765</v>
      </c>
      <c r="W37" s="6">
        <v>13169</v>
      </c>
      <c r="X37" s="6">
        <v>13221</v>
      </c>
      <c r="Y37" s="6">
        <v>12961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7"/>
    </row>
    <row r="38" spans="1:49" x14ac:dyDescent="0.25">
      <c r="A38" s="1" t="s">
        <v>32</v>
      </c>
      <c r="B38" s="5">
        <v>5047</v>
      </c>
      <c r="C38" s="6">
        <v>22846</v>
      </c>
      <c r="D38" s="6">
        <v>17618</v>
      </c>
      <c r="E38" s="6">
        <v>8263</v>
      </c>
      <c r="F38" s="6">
        <v>5789</v>
      </c>
      <c r="G38" s="6">
        <v>4695</v>
      </c>
      <c r="H38" s="6">
        <v>4540</v>
      </c>
      <c r="I38" s="6">
        <v>4516</v>
      </c>
      <c r="J38" s="6">
        <v>4319</v>
      </c>
      <c r="K38" s="6">
        <v>4125</v>
      </c>
      <c r="L38" s="6">
        <v>4349</v>
      </c>
      <c r="M38" s="6">
        <v>4071</v>
      </c>
      <c r="N38" s="6">
        <v>14284</v>
      </c>
      <c r="O38" s="6">
        <v>47189</v>
      </c>
      <c r="P38" s="6">
        <v>16548</v>
      </c>
      <c r="Q38" s="6">
        <v>9824</v>
      </c>
      <c r="R38" s="6">
        <v>10311</v>
      </c>
      <c r="S38" s="6">
        <v>11155</v>
      </c>
      <c r="T38" s="6">
        <v>13077</v>
      </c>
      <c r="U38" s="6">
        <v>13851</v>
      </c>
      <c r="V38" s="6">
        <v>13662</v>
      </c>
      <c r="W38" s="6">
        <v>14287</v>
      </c>
      <c r="X38" s="6">
        <v>14269</v>
      </c>
      <c r="Y38" s="6">
        <v>13149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7"/>
    </row>
    <row r="39" spans="1:49" x14ac:dyDescent="0.25">
      <c r="A39" s="1" t="s">
        <v>33</v>
      </c>
      <c r="B39" s="5">
        <v>4882</v>
      </c>
      <c r="C39" s="6">
        <v>45416</v>
      </c>
      <c r="D39" s="6">
        <v>17950</v>
      </c>
      <c r="E39" s="6">
        <v>8366</v>
      </c>
      <c r="F39" s="6">
        <v>5708</v>
      </c>
      <c r="G39" s="6">
        <v>4717</v>
      </c>
      <c r="H39" s="6">
        <v>4328</v>
      </c>
      <c r="I39" s="6">
        <v>4545</v>
      </c>
      <c r="J39" s="6">
        <v>4167</v>
      </c>
      <c r="K39" s="6">
        <v>3964</v>
      </c>
      <c r="L39" s="6">
        <v>4113</v>
      </c>
      <c r="M39" s="6">
        <v>4088</v>
      </c>
      <c r="N39" s="6">
        <v>14123</v>
      </c>
      <c r="O39" s="6">
        <v>47736</v>
      </c>
      <c r="P39" s="6">
        <v>16164</v>
      </c>
      <c r="Q39" s="6">
        <v>9465</v>
      </c>
      <c r="R39" s="6">
        <v>9442</v>
      </c>
      <c r="S39" s="6">
        <v>10561</v>
      </c>
      <c r="T39" s="6">
        <v>12847</v>
      </c>
      <c r="U39" s="6">
        <v>13059</v>
      </c>
      <c r="V39" s="6">
        <v>12652</v>
      </c>
      <c r="W39" s="6">
        <v>13500</v>
      </c>
      <c r="X39" s="6">
        <v>13309</v>
      </c>
      <c r="Y39" s="6">
        <v>13126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7"/>
    </row>
    <row r="40" spans="1:49" x14ac:dyDescent="0.25">
      <c r="A40" s="1" t="s">
        <v>34</v>
      </c>
      <c r="B40" s="5">
        <v>5200</v>
      </c>
      <c r="C40" s="6">
        <v>31754</v>
      </c>
      <c r="D40" s="6">
        <v>9841</v>
      </c>
      <c r="E40" s="6">
        <v>5649</v>
      </c>
      <c r="F40" s="6">
        <v>5749</v>
      </c>
      <c r="G40" s="6">
        <v>5083</v>
      </c>
      <c r="H40" s="6">
        <v>4195</v>
      </c>
      <c r="I40" s="6">
        <v>4782</v>
      </c>
      <c r="J40" s="6">
        <v>4552</v>
      </c>
      <c r="K40" s="6">
        <v>4472</v>
      </c>
      <c r="L40" s="6">
        <v>4436</v>
      </c>
      <c r="M40" s="6">
        <v>4277</v>
      </c>
      <c r="N40" s="6">
        <v>15122</v>
      </c>
      <c r="O40" s="6">
        <v>33755</v>
      </c>
      <c r="P40" s="6">
        <v>10449</v>
      </c>
      <c r="Q40" s="6">
        <v>10397</v>
      </c>
      <c r="R40" s="6">
        <v>12550</v>
      </c>
      <c r="S40" s="6">
        <v>13813</v>
      </c>
      <c r="T40" s="6">
        <v>14440</v>
      </c>
      <c r="U40" s="6">
        <v>14509</v>
      </c>
      <c r="V40" s="6">
        <v>13645</v>
      </c>
      <c r="W40" s="6">
        <v>13859</v>
      </c>
      <c r="X40" s="6">
        <v>14132</v>
      </c>
      <c r="Y40" s="6">
        <v>14059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7"/>
    </row>
    <row r="41" spans="1:49" x14ac:dyDescent="0.25">
      <c r="A41" s="1" t="s">
        <v>35</v>
      </c>
      <c r="B41" s="5">
        <v>4565</v>
      </c>
      <c r="C41" s="6">
        <v>33643</v>
      </c>
      <c r="D41" s="6">
        <v>9995</v>
      </c>
      <c r="E41" s="6">
        <v>5838</v>
      </c>
      <c r="F41" s="6">
        <v>4913</v>
      </c>
      <c r="G41" s="6">
        <v>4630</v>
      </c>
      <c r="H41" s="6">
        <v>4244</v>
      </c>
      <c r="I41" s="6">
        <v>4535</v>
      </c>
      <c r="J41" s="6">
        <v>4550</v>
      </c>
      <c r="K41" s="6">
        <v>4211</v>
      </c>
      <c r="L41" s="6">
        <v>3917</v>
      </c>
      <c r="M41" s="6">
        <v>4265</v>
      </c>
      <c r="N41" s="6">
        <v>14862</v>
      </c>
      <c r="O41" s="6">
        <v>34537</v>
      </c>
      <c r="P41" s="6">
        <v>10578</v>
      </c>
      <c r="Q41" s="6">
        <v>9745</v>
      </c>
      <c r="R41" s="6">
        <v>11359</v>
      </c>
      <c r="S41" s="6">
        <v>12667</v>
      </c>
      <c r="T41" s="6">
        <v>13828</v>
      </c>
      <c r="U41" s="6">
        <v>13788</v>
      </c>
      <c r="V41" s="6">
        <v>12394</v>
      </c>
      <c r="W41" s="6">
        <v>13744</v>
      </c>
      <c r="X41" s="6">
        <v>13857</v>
      </c>
      <c r="Y41" s="6">
        <v>13324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7"/>
    </row>
    <row r="42" spans="1:49" x14ac:dyDescent="0.25">
      <c r="A42" s="1" t="s">
        <v>36</v>
      </c>
      <c r="B42" s="5">
        <v>5173</v>
      </c>
      <c r="C42" s="6">
        <v>39307</v>
      </c>
      <c r="D42" s="6">
        <v>19810</v>
      </c>
      <c r="E42" s="6">
        <v>7797</v>
      </c>
      <c r="F42" s="6">
        <v>7252</v>
      </c>
      <c r="G42" s="6">
        <v>4522</v>
      </c>
      <c r="H42" s="6">
        <v>4564</v>
      </c>
      <c r="I42" s="6">
        <v>4609</v>
      </c>
      <c r="J42" s="6">
        <v>4618</v>
      </c>
      <c r="K42" s="6">
        <v>4258</v>
      </c>
      <c r="L42" s="6">
        <v>4569</v>
      </c>
      <c r="M42" s="6">
        <v>4581</v>
      </c>
      <c r="N42" s="6">
        <v>14748</v>
      </c>
      <c r="O42" s="6">
        <v>44104</v>
      </c>
      <c r="P42" s="6">
        <v>21192</v>
      </c>
      <c r="Q42" s="6">
        <v>10904</v>
      </c>
      <c r="R42" s="6">
        <v>16452</v>
      </c>
      <c r="S42" s="6">
        <v>12651</v>
      </c>
      <c r="T42" s="6">
        <v>14735</v>
      </c>
      <c r="U42" s="6">
        <v>14302</v>
      </c>
      <c r="V42" s="6">
        <v>13547</v>
      </c>
      <c r="W42" s="6">
        <v>13924</v>
      </c>
      <c r="X42" s="6">
        <v>14150</v>
      </c>
      <c r="Y42" s="6">
        <v>13325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7"/>
    </row>
    <row r="43" spans="1:49" x14ac:dyDescent="0.25">
      <c r="A43" s="1" t="s">
        <v>37</v>
      </c>
      <c r="B43" s="5">
        <v>4564</v>
      </c>
      <c r="C43" s="6">
        <v>47734</v>
      </c>
      <c r="D43" s="6">
        <v>22111</v>
      </c>
      <c r="E43" s="6">
        <v>7499</v>
      </c>
      <c r="F43" s="6">
        <v>7496</v>
      </c>
      <c r="G43" s="6">
        <v>4262</v>
      </c>
      <c r="H43" s="6">
        <v>4349</v>
      </c>
      <c r="I43" s="6">
        <v>4285</v>
      </c>
      <c r="J43" s="6">
        <v>4341</v>
      </c>
      <c r="K43" s="6">
        <v>4057</v>
      </c>
      <c r="L43" s="6">
        <v>4135</v>
      </c>
      <c r="M43" s="6">
        <v>3967</v>
      </c>
      <c r="N43" s="6">
        <v>13752</v>
      </c>
      <c r="O43" s="6">
        <v>35893</v>
      </c>
      <c r="P43" s="6">
        <v>17617</v>
      </c>
      <c r="Q43" s="6">
        <v>9843</v>
      </c>
      <c r="R43" s="6">
        <v>16219</v>
      </c>
      <c r="S43" s="6">
        <v>11352</v>
      </c>
      <c r="T43" s="6">
        <v>13033</v>
      </c>
      <c r="U43" s="6">
        <v>13269</v>
      </c>
      <c r="V43" s="6">
        <v>12500</v>
      </c>
      <c r="W43" s="6">
        <v>13647</v>
      </c>
      <c r="X43" s="6">
        <v>13349</v>
      </c>
      <c r="Y43" s="6">
        <v>12889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7"/>
    </row>
    <row r="44" spans="1:49" x14ac:dyDescent="0.25">
      <c r="A44" s="1" t="s">
        <v>38</v>
      </c>
      <c r="B44" s="5">
        <v>5045</v>
      </c>
      <c r="C44" s="6">
        <v>58691</v>
      </c>
      <c r="D44" s="6">
        <v>47307</v>
      </c>
      <c r="E44" s="6">
        <v>21322</v>
      </c>
      <c r="F44" s="6">
        <v>9854</v>
      </c>
      <c r="G44" s="6">
        <v>6444</v>
      </c>
      <c r="H44" s="6">
        <v>5053</v>
      </c>
      <c r="I44" s="6">
        <v>4590</v>
      </c>
      <c r="J44" s="6">
        <v>4504</v>
      </c>
      <c r="K44" s="6">
        <v>4193</v>
      </c>
      <c r="L44" s="6">
        <v>4610</v>
      </c>
      <c r="M44" s="6">
        <v>4431</v>
      </c>
      <c r="N44" s="6">
        <v>15220</v>
      </c>
      <c r="O44" s="6">
        <v>56550</v>
      </c>
      <c r="P44" s="6">
        <v>48249</v>
      </c>
      <c r="Q44" s="6">
        <v>26853</v>
      </c>
      <c r="R44" s="6">
        <v>15711</v>
      </c>
      <c r="S44" s="6">
        <v>11655</v>
      </c>
      <c r="T44" s="6">
        <v>13458</v>
      </c>
      <c r="U44" s="6">
        <v>13972</v>
      </c>
      <c r="V44" s="6">
        <v>13707</v>
      </c>
      <c r="W44" s="6">
        <v>14513</v>
      </c>
      <c r="X44" s="6">
        <v>13961</v>
      </c>
      <c r="Y44" s="6">
        <v>13418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7"/>
    </row>
    <row r="45" spans="1:49" x14ac:dyDescent="0.25">
      <c r="A45" s="1" t="s">
        <v>39</v>
      </c>
      <c r="B45" s="5">
        <v>5047</v>
      </c>
      <c r="C45" s="6">
        <v>67582</v>
      </c>
      <c r="D45" s="6">
        <v>55461</v>
      </c>
      <c r="E45" s="6">
        <v>25219</v>
      </c>
      <c r="F45" s="6">
        <v>9457</v>
      </c>
      <c r="G45" s="6">
        <v>6938</v>
      </c>
      <c r="H45" s="6">
        <v>4623</v>
      </c>
      <c r="I45" s="6">
        <v>4615</v>
      </c>
      <c r="J45" s="6">
        <v>4303</v>
      </c>
      <c r="K45" s="6">
        <v>4139</v>
      </c>
      <c r="L45" s="6">
        <v>4450</v>
      </c>
      <c r="M45" s="6">
        <v>4122</v>
      </c>
      <c r="N45" s="6">
        <v>14134</v>
      </c>
      <c r="O45" s="6">
        <v>62908</v>
      </c>
      <c r="P45" s="6">
        <v>49245</v>
      </c>
      <c r="Q45" s="6">
        <v>25616</v>
      </c>
      <c r="R45" s="6">
        <v>15617</v>
      </c>
      <c r="S45" s="6">
        <v>11400</v>
      </c>
      <c r="T45" s="6">
        <v>12838</v>
      </c>
      <c r="U45" s="6">
        <v>13291</v>
      </c>
      <c r="V45" s="6">
        <v>12874</v>
      </c>
      <c r="W45" s="6">
        <v>13623</v>
      </c>
      <c r="X45" s="6">
        <v>13281</v>
      </c>
      <c r="Y45" s="6">
        <v>13112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7"/>
    </row>
    <row r="46" spans="1:49" x14ac:dyDescent="0.25">
      <c r="A46" s="1" t="s">
        <v>40</v>
      </c>
      <c r="B46" s="5">
        <v>5053</v>
      </c>
      <c r="C46" s="6">
        <v>23815</v>
      </c>
      <c r="D46" s="6">
        <v>17562</v>
      </c>
      <c r="E46" s="6">
        <v>12172</v>
      </c>
      <c r="F46" s="6">
        <v>6443</v>
      </c>
      <c r="G46" s="6">
        <v>5652</v>
      </c>
      <c r="H46" s="6">
        <v>4760</v>
      </c>
      <c r="I46" s="6">
        <v>4429</v>
      </c>
      <c r="J46" s="6">
        <v>4338</v>
      </c>
      <c r="K46" s="6">
        <v>4215</v>
      </c>
      <c r="L46" s="6">
        <v>4497</v>
      </c>
      <c r="M46" s="6">
        <v>4359</v>
      </c>
      <c r="N46" s="6">
        <v>15171</v>
      </c>
      <c r="O46" s="6">
        <v>33220</v>
      </c>
      <c r="P46" s="6">
        <v>21596</v>
      </c>
      <c r="Q46" s="6">
        <v>14420</v>
      </c>
      <c r="R46" s="6">
        <v>10666</v>
      </c>
      <c r="S46" s="6">
        <v>10372</v>
      </c>
      <c r="T46" s="6">
        <v>11501</v>
      </c>
      <c r="U46" s="6">
        <v>12471</v>
      </c>
      <c r="V46" s="6">
        <v>12801</v>
      </c>
      <c r="W46" s="6">
        <v>13978</v>
      </c>
      <c r="X46" s="6">
        <v>14111</v>
      </c>
      <c r="Y46" s="6">
        <v>13277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7"/>
    </row>
    <row r="47" spans="1:49" x14ac:dyDescent="0.25">
      <c r="A47" s="1" t="s">
        <v>41</v>
      </c>
      <c r="B47" s="5">
        <v>4752</v>
      </c>
      <c r="C47" s="6">
        <v>31516</v>
      </c>
      <c r="D47" s="6">
        <v>23019</v>
      </c>
      <c r="E47" s="6">
        <v>13827</v>
      </c>
      <c r="F47" s="6">
        <v>6540</v>
      </c>
      <c r="G47" s="6">
        <v>5890</v>
      </c>
      <c r="H47" s="6">
        <v>4613</v>
      </c>
      <c r="I47" s="6">
        <v>4455</v>
      </c>
      <c r="J47" s="6">
        <v>4399</v>
      </c>
      <c r="K47" s="6">
        <v>4088</v>
      </c>
      <c r="L47" s="6">
        <v>4446</v>
      </c>
      <c r="M47" s="6">
        <v>4392</v>
      </c>
      <c r="N47" s="6">
        <v>14522</v>
      </c>
      <c r="O47" s="6">
        <v>31771</v>
      </c>
      <c r="P47" s="6">
        <v>21903</v>
      </c>
      <c r="Q47" s="6">
        <v>13568</v>
      </c>
      <c r="R47" s="6">
        <v>14872</v>
      </c>
      <c r="S47" s="6">
        <v>9185</v>
      </c>
      <c r="T47" s="6">
        <v>10792</v>
      </c>
      <c r="U47" s="6">
        <v>12163</v>
      </c>
      <c r="V47" s="6">
        <v>12464</v>
      </c>
      <c r="W47" s="6">
        <v>13500</v>
      </c>
      <c r="X47" s="6">
        <v>13686</v>
      </c>
      <c r="Y47" s="6">
        <v>12963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7"/>
    </row>
    <row r="48" spans="1:49" x14ac:dyDescent="0.25">
      <c r="A48" s="1" t="s">
        <v>42</v>
      </c>
      <c r="B48" s="5">
        <v>4975</v>
      </c>
      <c r="C48" s="6">
        <v>10133</v>
      </c>
      <c r="D48" s="6">
        <v>7462</v>
      </c>
      <c r="E48" s="6">
        <v>5513</v>
      </c>
      <c r="F48" s="6">
        <v>4755</v>
      </c>
      <c r="G48" s="6">
        <v>4163</v>
      </c>
      <c r="H48" s="6">
        <v>4468</v>
      </c>
      <c r="I48" s="6">
        <v>4444</v>
      </c>
      <c r="J48" s="6">
        <v>4307</v>
      </c>
      <c r="K48" s="6">
        <v>4496</v>
      </c>
      <c r="L48" s="6">
        <v>4422</v>
      </c>
      <c r="M48" s="6">
        <v>4372</v>
      </c>
      <c r="N48" s="6">
        <v>15026</v>
      </c>
      <c r="O48" s="6">
        <v>11765</v>
      </c>
      <c r="P48" s="6">
        <v>7784</v>
      </c>
      <c r="Q48" s="6">
        <v>7862</v>
      </c>
      <c r="R48" s="6">
        <v>9566</v>
      </c>
      <c r="S48" s="6">
        <v>11873</v>
      </c>
      <c r="T48" s="6">
        <v>13749</v>
      </c>
      <c r="U48" s="6">
        <v>13692</v>
      </c>
      <c r="V48" s="6">
        <v>13548</v>
      </c>
      <c r="W48" s="6">
        <v>13983</v>
      </c>
      <c r="X48" s="6">
        <v>14076</v>
      </c>
      <c r="Y48" s="6">
        <v>13010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7"/>
    </row>
    <row r="49" spans="1:49" x14ac:dyDescent="0.25">
      <c r="A49" s="1" t="s">
        <v>43</v>
      </c>
      <c r="B49" s="8">
        <v>5086</v>
      </c>
      <c r="C49" s="9">
        <v>12800</v>
      </c>
      <c r="D49" s="9">
        <v>7346</v>
      </c>
      <c r="E49" s="9">
        <v>5569</v>
      </c>
      <c r="F49" s="9">
        <v>4835</v>
      </c>
      <c r="G49" s="9">
        <v>4380</v>
      </c>
      <c r="H49" s="9">
        <v>4422</v>
      </c>
      <c r="I49" s="9">
        <v>4366</v>
      </c>
      <c r="J49" s="9">
        <v>4251</v>
      </c>
      <c r="K49" s="9">
        <v>4393</v>
      </c>
      <c r="L49" s="9">
        <v>4254</v>
      </c>
      <c r="M49" s="9">
        <v>4215</v>
      </c>
      <c r="N49" s="9">
        <v>14395</v>
      </c>
      <c r="O49" s="9">
        <v>11233</v>
      </c>
      <c r="P49" s="9">
        <v>7799</v>
      </c>
      <c r="Q49" s="9">
        <v>7566</v>
      </c>
      <c r="R49" s="9">
        <v>9153</v>
      </c>
      <c r="S49" s="9">
        <v>11198</v>
      </c>
      <c r="T49" s="9">
        <v>13243</v>
      </c>
      <c r="U49" s="9">
        <v>13635</v>
      </c>
      <c r="V49" s="9">
        <v>13347</v>
      </c>
      <c r="W49" s="9">
        <v>14457</v>
      </c>
      <c r="X49" s="9">
        <v>13869</v>
      </c>
      <c r="Y49" s="9">
        <v>13502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10"/>
    </row>
    <row r="50" spans="1:49" x14ac:dyDescent="0.25"/>
    <row r="51" spans="1:49" x14ac:dyDescent="0.25"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V51" s="1">
        <v>21</v>
      </c>
      <c r="W51" s="1">
        <v>22</v>
      </c>
      <c r="X51" s="1">
        <v>23</v>
      </c>
      <c r="Y51" s="1">
        <v>24</v>
      </c>
      <c r="Z51" s="1">
        <v>25</v>
      </c>
      <c r="AA51" s="1">
        <v>26</v>
      </c>
      <c r="AB51" s="1">
        <v>27</v>
      </c>
      <c r="AC51" s="1">
        <v>28</v>
      </c>
      <c r="AD51" s="1">
        <v>29</v>
      </c>
      <c r="AE51" s="1">
        <v>30</v>
      </c>
      <c r="AF51" s="1">
        <v>31</v>
      </c>
      <c r="AG51" s="1">
        <v>32</v>
      </c>
      <c r="AH51" s="1">
        <v>33</v>
      </c>
      <c r="AI51" s="1">
        <v>34</v>
      </c>
      <c r="AJ51" s="1">
        <v>35</v>
      </c>
      <c r="AK51" s="1">
        <v>36</v>
      </c>
      <c r="AL51" s="1">
        <v>37</v>
      </c>
      <c r="AM51" s="1">
        <v>38</v>
      </c>
      <c r="AN51" s="1">
        <v>39</v>
      </c>
      <c r="AO51" s="1">
        <v>40</v>
      </c>
      <c r="AP51" s="1">
        <v>41</v>
      </c>
      <c r="AQ51" s="1">
        <v>42</v>
      </c>
      <c r="AR51" s="1">
        <v>43</v>
      </c>
      <c r="AS51" s="1">
        <v>44</v>
      </c>
      <c r="AT51" s="1">
        <v>45</v>
      </c>
      <c r="AU51" s="1">
        <v>46</v>
      </c>
      <c r="AV51" s="1">
        <v>47</v>
      </c>
      <c r="AW51" s="1">
        <v>48</v>
      </c>
    </row>
    <row r="52" spans="1:49" x14ac:dyDescent="0.25">
      <c r="A52" s="1" t="s">
        <v>12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>
        <f t="shared" ref="N52:X52" si="0">N18-B18</f>
        <v>10200</v>
      </c>
      <c r="O52" s="3">
        <f t="shared" si="0"/>
        <v>-209</v>
      </c>
      <c r="P52" s="3">
        <f t="shared" si="0"/>
        <v>188</v>
      </c>
      <c r="Q52" s="3">
        <f t="shared" si="0"/>
        <v>112</v>
      </c>
      <c r="R52" s="3">
        <f t="shared" si="0"/>
        <v>424</v>
      </c>
      <c r="S52" s="3">
        <f t="shared" si="0"/>
        <v>517</v>
      </c>
      <c r="T52" s="3">
        <f t="shared" si="0"/>
        <v>1045</v>
      </c>
      <c r="U52" s="3">
        <f t="shared" si="0"/>
        <v>2652</v>
      </c>
      <c r="V52" s="3">
        <f t="shared" si="0"/>
        <v>4887</v>
      </c>
      <c r="W52" s="3">
        <f t="shared" si="0"/>
        <v>8484</v>
      </c>
      <c r="X52" s="3">
        <f t="shared" si="0"/>
        <v>9537</v>
      </c>
      <c r="Y52" s="3">
        <f>M18-B18</f>
        <v>-736</v>
      </c>
      <c r="Z52" t="s">
        <v>44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4"/>
    </row>
    <row r="53" spans="1:49" x14ac:dyDescent="0.25">
      <c r="A53" s="1" t="s">
        <v>13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f t="shared" ref="N53:N83" si="1">N19-B19</f>
        <v>9887</v>
      </c>
      <c r="O53" s="3">
        <f t="shared" ref="O53:O83" si="2">O19-C19</f>
        <v>-26</v>
      </c>
      <c r="P53" s="3">
        <f t="shared" ref="P53:P83" si="3">P19-D19</f>
        <v>-31</v>
      </c>
      <c r="Q53" s="3">
        <f t="shared" ref="Q53:Q83" si="4">Q19-E19</f>
        <v>123</v>
      </c>
      <c r="R53" s="3">
        <f t="shared" ref="R53:R83" si="5">R19-F19</f>
        <v>172</v>
      </c>
      <c r="S53" s="3">
        <f t="shared" ref="S53:S83" si="6">S19-G19</f>
        <v>308</v>
      </c>
      <c r="T53" s="3">
        <f t="shared" ref="T53:T83" si="7">T19-H19</f>
        <v>1071</v>
      </c>
      <c r="U53" s="3">
        <f t="shared" ref="U53:U83" si="8">U19-I19</f>
        <v>2765</v>
      </c>
      <c r="V53" s="3">
        <f t="shared" ref="V53:V83" si="9">V19-J19</f>
        <v>4883</v>
      </c>
      <c r="W53" s="3">
        <f t="shared" ref="W53:W83" si="10">W19-K19</f>
        <v>7978</v>
      </c>
      <c r="X53" s="3">
        <f t="shared" ref="X53:Y68" si="11">X19-L19</f>
        <v>8996</v>
      </c>
      <c r="Y53" s="3">
        <f t="shared" ref="Y53:Y83" si="12">M19-B19</f>
        <v>-427</v>
      </c>
      <c r="Z53" t="s">
        <v>44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7"/>
    </row>
    <row r="54" spans="1:49" x14ac:dyDescent="0.25">
      <c r="A54" s="1" t="s">
        <v>14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f t="shared" si="1"/>
        <v>10710</v>
      </c>
      <c r="O54" s="3">
        <f t="shared" si="2"/>
        <v>4587</v>
      </c>
      <c r="P54" s="3">
        <f t="shared" si="3"/>
        <v>5295</v>
      </c>
      <c r="Q54" s="3">
        <f t="shared" si="4"/>
        <v>8783</v>
      </c>
      <c r="R54" s="3">
        <f t="shared" si="5"/>
        <v>10132</v>
      </c>
      <c r="S54" s="3">
        <f t="shared" si="6"/>
        <v>9761</v>
      </c>
      <c r="T54" s="3">
        <f t="shared" si="7"/>
        <v>10711</v>
      </c>
      <c r="U54" s="3">
        <f t="shared" si="8"/>
        <v>10754</v>
      </c>
      <c r="V54" s="3">
        <f t="shared" si="9"/>
        <v>9856</v>
      </c>
      <c r="W54" s="3">
        <f t="shared" si="10"/>
        <v>10538</v>
      </c>
      <c r="X54" s="3">
        <f t="shared" si="11"/>
        <v>9847</v>
      </c>
      <c r="Y54" s="3">
        <f t="shared" si="12"/>
        <v>96</v>
      </c>
      <c r="Z54" t="s">
        <v>45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7"/>
    </row>
    <row r="55" spans="1:49" x14ac:dyDescent="0.25">
      <c r="A55" s="1" t="s">
        <v>15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>
        <f t="shared" si="1"/>
        <v>9294</v>
      </c>
      <c r="O55" s="3">
        <f t="shared" si="2"/>
        <v>3515</v>
      </c>
      <c r="P55" s="3">
        <f t="shared" si="3"/>
        <v>4531</v>
      </c>
      <c r="Q55" s="3">
        <f t="shared" si="4"/>
        <v>8210</v>
      </c>
      <c r="R55" s="3">
        <f t="shared" si="5"/>
        <v>9331</v>
      </c>
      <c r="S55" s="3">
        <f t="shared" si="6"/>
        <v>9385</v>
      </c>
      <c r="T55" s="3">
        <f t="shared" si="7"/>
        <v>10622</v>
      </c>
      <c r="U55" s="3">
        <f t="shared" si="8"/>
        <v>9560</v>
      </c>
      <c r="V55" s="3">
        <f t="shared" si="9"/>
        <v>9090</v>
      </c>
      <c r="W55" s="3">
        <f t="shared" si="10"/>
        <v>9708</v>
      </c>
      <c r="X55" s="3">
        <f t="shared" si="11"/>
        <v>10199</v>
      </c>
      <c r="Y55" s="3">
        <f t="shared" si="12"/>
        <v>-673</v>
      </c>
      <c r="Z55" t="s">
        <v>45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7"/>
    </row>
    <row r="56" spans="1:49" x14ac:dyDescent="0.25">
      <c r="A56" s="1" t="s">
        <v>16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>
        <f t="shared" si="1"/>
        <v>10393</v>
      </c>
      <c r="O56" s="3">
        <f t="shared" si="2"/>
        <v>-1981</v>
      </c>
      <c r="P56" s="3">
        <f t="shared" si="3"/>
        <v>994</v>
      </c>
      <c r="Q56" s="3">
        <f t="shared" si="4"/>
        <v>3026</v>
      </c>
      <c r="R56" s="3">
        <f t="shared" si="5"/>
        <v>4999</v>
      </c>
      <c r="S56" s="3">
        <f t="shared" si="6"/>
        <v>7231</v>
      </c>
      <c r="T56" s="3">
        <f t="shared" si="7"/>
        <v>10312</v>
      </c>
      <c r="U56" s="3">
        <f t="shared" si="8"/>
        <v>10202</v>
      </c>
      <c r="V56" s="3">
        <f t="shared" si="9"/>
        <v>9713</v>
      </c>
      <c r="W56" s="3">
        <f t="shared" si="10"/>
        <v>10855</v>
      </c>
      <c r="X56" s="3">
        <f t="shared" si="11"/>
        <v>10545</v>
      </c>
      <c r="Y56" s="3">
        <f t="shared" si="12"/>
        <v>-219</v>
      </c>
      <c r="Z56" t="s">
        <v>46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7"/>
    </row>
    <row r="57" spans="1:49" x14ac:dyDescent="0.25">
      <c r="A57" s="1" t="s">
        <v>17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f t="shared" si="1"/>
        <v>9722</v>
      </c>
      <c r="O57" s="3">
        <f t="shared" si="2"/>
        <v>-429</v>
      </c>
      <c r="P57" s="3">
        <f t="shared" si="3"/>
        <v>1268</v>
      </c>
      <c r="Q57" s="3">
        <f t="shared" si="4"/>
        <v>2477</v>
      </c>
      <c r="R57" s="3">
        <f t="shared" si="5"/>
        <v>5089</v>
      </c>
      <c r="S57" s="3">
        <f t="shared" si="6"/>
        <v>7194</v>
      </c>
      <c r="T57" s="3">
        <f t="shared" si="7"/>
        <v>9671</v>
      </c>
      <c r="U57" s="3">
        <f t="shared" si="8"/>
        <v>9557</v>
      </c>
      <c r="V57" s="3">
        <f t="shared" si="9"/>
        <v>9081</v>
      </c>
      <c r="W57" s="3">
        <f t="shared" si="10"/>
        <v>10078</v>
      </c>
      <c r="X57" s="3">
        <f t="shared" si="11"/>
        <v>9856</v>
      </c>
      <c r="Y57" s="3">
        <f t="shared" si="12"/>
        <v>-547</v>
      </c>
      <c r="Z57" t="s">
        <v>46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7"/>
    </row>
    <row r="58" spans="1:49" x14ac:dyDescent="0.25">
      <c r="A58" s="1" t="s">
        <v>18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>
        <f t="shared" si="1"/>
        <v>9745</v>
      </c>
      <c r="O58" s="3">
        <f t="shared" si="2"/>
        <v>1292</v>
      </c>
      <c r="P58" s="3">
        <f t="shared" si="3"/>
        <v>1261</v>
      </c>
      <c r="Q58" s="3">
        <f t="shared" si="4"/>
        <v>4849</v>
      </c>
      <c r="R58" s="3">
        <f t="shared" si="5"/>
        <v>7016</v>
      </c>
      <c r="S58" s="3">
        <f t="shared" si="6"/>
        <v>9686</v>
      </c>
      <c r="T58" s="3">
        <f t="shared" si="7"/>
        <v>10780</v>
      </c>
      <c r="U58" s="3">
        <f t="shared" si="8"/>
        <v>10391</v>
      </c>
      <c r="V58" s="3">
        <f t="shared" si="9"/>
        <v>10590</v>
      </c>
      <c r="W58" s="3">
        <f t="shared" si="10"/>
        <v>10370</v>
      </c>
      <c r="X58" s="3">
        <f t="shared" si="11"/>
        <v>10224</v>
      </c>
      <c r="Y58" s="3">
        <f t="shared" si="12"/>
        <v>137</v>
      </c>
      <c r="Z58" t="s">
        <v>47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7"/>
    </row>
    <row r="59" spans="1:49" x14ac:dyDescent="0.25">
      <c r="A59" s="1" t="s">
        <v>19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>
        <f t="shared" si="1"/>
        <v>10133</v>
      </c>
      <c r="O59" s="3">
        <f t="shared" si="2"/>
        <v>1333</v>
      </c>
      <c r="P59" s="3">
        <f t="shared" si="3"/>
        <v>1643</v>
      </c>
      <c r="Q59" s="3">
        <f t="shared" si="4"/>
        <v>4805</v>
      </c>
      <c r="R59" s="3">
        <f t="shared" si="5"/>
        <v>6726</v>
      </c>
      <c r="S59" s="3">
        <f t="shared" si="6"/>
        <v>8622</v>
      </c>
      <c r="T59" s="3">
        <f t="shared" si="7"/>
        <v>10441</v>
      </c>
      <c r="U59" s="3">
        <f t="shared" si="8"/>
        <v>9976</v>
      </c>
      <c r="V59" s="3">
        <f t="shared" si="9"/>
        <v>9090</v>
      </c>
      <c r="W59" s="3">
        <f t="shared" si="10"/>
        <v>12007</v>
      </c>
      <c r="X59" s="3">
        <f t="shared" si="11"/>
        <v>9542</v>
      </c>
      <c r="Y59" s="3">
        <f t="shared" si="12"/>
        <v>-479</v>
      </c>
      <c r="Z59" t="s">
        <v>47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7"/>
    </row>
    <row r="60" spans="1:49" x14ac:dyDescent="0.25">
      <c r="A60" s="1" t="s">
        <v>20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>
        <f t="shared" si="1"/>
        <v>11325</v>
      </c>
      <c r="O60" s="3">
        <f t="shared" si="2"/>
        <v>4964</v>
      </c>
      <c r="P60" s="3">
        <f t="shared" si="3"/>
        <v>5570</v>
      </c>
      <c r="Q60" s="3">
        <f t="shared" si="4"/>
        <v>8925</v>
      </c>
      <c r="R60" s="3">
        <f t="shared" si="5"/>
        <v>10645</v>
      </c>
      <c r="S60" s="3">
        <f t="shared" si="6"/>
        <v>9693</v>
      </c>
      <c r="T60" s="3">
        <f t="shared" si="7"/>
        <v>11558</v>
      </c>
      <c r="U60" s="3">
        <f t="shared" si="8"/>
        <v>11549</v>
      </c>
      <c r="V60" s="3">
        <f t="shared" si="9"/>
        <v>8789</v>
      </c>
      <c r="W60" s="3">
        <f t="shared" si="10"/>
        <v>10459</v>
      </c>
      <c r="X60" s="3">
        <f t="shared" si="11"/>
        <v>10399</v>
      </c>
      <c r="Y60" s="3">
        <f t="shared" si="12"/>
        <v>180</v>
      </c>
      <c r="Z60" t="s">
        <v>48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7"/>
    </row>
    <row r="61" spans="1:49" x14ac:dyDescent="0.25">
      <c r="A61" s="1" t="s">
        <v>21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f t="shared" si="1"/>
        <v>9212</v>
      </c>
      <c r="O61" s="3">
        <f t="shared" si="2"/>
        <v>5035</v>
      </c>
      <c r="P61" s="3">
        <f t="shared" si="3"/>
        <v>5777</v>
      </c>
      <c r="Q61" s="3">
        <f t="shared" si="4"/>
        <v>9118</v>
      </c>
      <c r="R61" s="3">
        <f t="shared" si="5"/>
        <v>9201</v>
      </c>
      <c r="S61" s="3">
        <f t="shared" si="6"/>
        <v>9186</v>
      </c>
      <c r="T61" s="3">
        <f t="shared" si="7"/>
        <v>9632</v>
      </c>
      <c r="U61" s="3">
        <f t="shared" si="8"/>
        <v>9250</v>
      </c>
      <c r="V61" s="3">
        <f t="shared" si="9"/>
        <v>9059</v>
      </c>
      <c r="W61" s="3">
        <f t="shared" si="10"/>
        <v>9024</v>
      </c>
      <c r="X61" s="3">
        <f t="shared" si="11"/>
        <v>9629</v>
      </c>
      <c r="Y61" s="3">
        <f t="shared" si="12"/>
        <v>-221</v>
      </c>
      <c r="Z61" t="s">
        <v>48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7"/>
    </row>
    <row r="62" spans="1:49" x14ac:dyDescent="0.25">
      <c r="A62" s="1" t="s">
        <v>22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>
        <f t="shared" si="1"/>
        <v>12636</v>
      </c>
      <c r="O62" s="3">
        <f t="shared" si="2"/>
        <v>25500</v>
      </c>
      <c r="P62" s="3">
        <f t="shared" si="3"/>
        <v>5928</v>
      </c>
      <c r="Q62" s="3">
        <f t="shared" si="4"/>
        <v>4039</v>
      </c>
      <c r="R62" s="3">
        <f t="shared" si="5"/>
        <v>7050</v>
      </c>
      <c r="S62" s="3">
        <f t="shared" si="6"/>
        <v>8891</v>
      </c>
      <c r="T62" s="3">
        <f t="shared" si="7"/>
        <v>9760</v>
      </c>
      <c r="U62" s="3">
        <f t="shared" si="8"/>
        <v>11865</v>
      </c>
      <c r="V62" s="3">
        <f t="shared" si="9"/>
        <v>10568</v>
      </c>
      <c r="W62" s="3">
        <f t="shared" si="10"/>
        <v>10445</v>
      </c>
      <c r="X62" s="3">
        <f t="shared" si="11"/>
        <v>10340</v>
      </c>
      <c r="Y62" s="3">
        <f t="shared" si="12"/>
        <v>521</v>
      </c>
      <c r="Z62" t="s">
        <v>49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7"/>
    </row>
    <row r="63" spans="1:49" x14ac:dyDescent="0.25">
      <c r="A63" s="1" t="s">
        <v>23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>
        <f t="shared" si="1"/>
        <v>9628</v>
      </c>
      <c r="O63" s="3">
        <f t="shared" si="2"/>
        <v>-47886</v>
      </c>
      <c r="P63" s="3">
        <f t="shared" si="3"/>
        <v>-16802</v>
      </c>
      <c r="Q63" s="3">
        <f t="shared" si="4"/>
        <v>3163</v>
      </c>
      <c r="R63" s="3">
        <f t="shared" si="5"/>
        <v>6577</v>
      </c>
      <c r="S63" s="3">
        <f t="shared" si="6"/>
        <v>7994</v>
      </c>
      <c r="T63" s="3">
        <f t="shared" si="7"/>
        <v>9339</v>
      </c>
      <c r="U63" s="3">
        <f t="shared" si="8"/>
        <v>9847</v>
      </c>
      <c r="V63" s="3">
        <f t="shared" si="9"/>
        <v>8651</v>
      </c>
      <c r="W63" s="3">
        <f t="shared" si="10"/>
        <v>9375</v>
      </c>
      <c r="X63" s="3">
        <f t="shared" si="11"/>
        <v>9492</v>
      </c>
      <c r="Y63" s="3">
        <f t="shared" si="12"/>
        <v>-433</v>
      </c>
      <c r="Z63" t="s">
        <v>49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7"/>
    </row>
    <row r="64" spans="1:49" x14ac:dyDescent="0.25">
      <c r="A64" s="1" t="s">
        <v>24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>
        <f t="shared" si="1"/>
        <v>12260</v>
      </c>
      <c r="O64" s="3">
        <f t="shared" si="2"/>
        <v>-2857</v>
      </c>
      <c r="P64" s="3">
        <f t="shared" si="3"/>
        <v>706</v>
      </c>
      <c r="Q64" s="3">
        <f t="shared" si="4"/>
        <v>4637</v>
      </c>
      <c r="R64" s="3">
        <f t="shared" si="5"/>
        <v>6937</v>
      </c>
      <c r="S64" s="3">
        <f t="shared" si="6"/>
        <v>8380</v>
      </c>
      <c r="T64" s="3">
        <f t="shared" si="7"/>
        <v>11358</v>
      </c>
      <c r="U64" s="3">
        <f t="shared" si="8"/>
        <v>9597</v>
      </c>
      <c r="V64" s="3">
        <f t="shared" si="9"/>
        <v>9340</v>
      </c>
      <c r="W64" s="3">
        <f t="shared" si="10"/>
        <v>10449</v>
      </c>
      <c r="X64" s="3">
        <f t="shared" si="11"/>
        <v>9700</v>
      </c>
      <c r="Y64" s="3">
        <f t="shared" si="12"/>
        <v>52</v>
      </c>
      <c r="Z64" t="s">
        <v>50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7"/>
    </row>
    <row r="65" spans="1:49" x14ac:dyDescent="0.25">
      <c r="A65" s="1" t="s">
        <v>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>
        <f t="shared" si="1"/>
        <v>9862</v>
      </c>
      <c r="O65" s="3">
        <f t="shared" si="2"/>
        <v>-2015</v>
      </c>
      <c r="P65" s="3">
        <f t="shared" si="3"/>
        <v>89</v>
      </c>
      <c r="Q65" s="3">
        <f t="shared" si="4"/>
        <v>3459</v>
      </c>
      <c r="R65" s="3">
        <f t="shared" si="5"/>
        <v>6145</v>
      </c>
      <c r="S65" s="3">
        <f t="shared" si="6"/>
        <v>7931</v>
      </c>
      <c r="T65" s="3">
        <f t="shared" si="7"/>
        <v>9308</v>
      </c>
      <c r="U65" s="3">
        <f t="shared" si="8"/>
        <v>9048</v>
      </c>
      <c r="V65" s="3">
        <f t="shared" si="9"/>
        <v>8647</v>
      </c>
      <c r="W65" s="3">
        <f t="shared" si="10"/>
        <v>9215</v>
      </c>
      <c r="X65" s="3">
        <f t="shared" si="11"/>
        <v>8702</v>
      </c>
      <c r="Y65" s="3">
        <f t="shared" si="12"/>
        <v>-374</v>
      </c>
      <c r="Z65" t="s">
        <v>50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7"/>
    </row>
    <row r="66" spans="1:49" x14ac:dyDescent="0.25">
      <c r="A66" s="1" t="s">
        <v>26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f t="shared" si="1"/>
        <v>10138</v>
      </c>
      <c r="O66" s="3">
        <f t="shared" si="2"/>
        <v>649</v>
      </c>
      <c r="P66" s="3">
        <f t="shared" si="3"/>
        <v>3801</v>
      </c>
      <c r="Q66" s="3">
        <f t="shared" si="4"/>
        <v>7487</v>
      </c>
      <c r="R66" s="3">
        <f t="shared" si="5"/>
        <v>8402</v>
      </c>
      <c r="S66" s="3">
        <f t="shared" si="6"/>
        <v>9299</v>
      </c>
      <c r="T66" s="3">
        <f t="shared" si="7"/>
        <v>10707</v>
      </c>
      <c r="U66" s="3">
        <f t="shared" si="8"/>
        <v>9852</v>
      </c>
      <c r="V66" s="3">
        <f t="shared" si="9"/>
        <v>9149</v>
      </c>
      <c r="W66" s="3">
        <f t="shared" si="10"/>
        <v>9341</v>
      </c>
      <c r="X66" s="3">
        <f t="shared" si="11"/>
        <v>9595</v>
      </c>
      <c r="Y66" s="3">
        <f t="shared" si="12"/>
        <v>-596</v>
      </c>
      <c r="Z66" t="s">
        <v>51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7"/>
    </row>
    <row r="67" spans="1:49" x14ac:dyDescent="0.25">
      <c r="A67" s="1" t="s">
        <v>27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>
        <f t="shared" si="1"/>
        <v>8818</v>
      </c>
      <c r="O67" s="3">
        <f t="shared" si="2"/>
        <v>-847</v>
      </c>
      <c r="P67" s="3">
        <f t="shared" si="3"/>
        <v>3183</v>
      </c>
      <c r="Q67" s="3">
        <f t="shared" si="4"/>
        <v>6675</v>
      </c>
      <c r="R67" s="3">
        <f t="shared" si="5"/>
        <v>8528</v>
      </c>
      <c r="S67" s="3">
        <f t="shared" si="6"/>
        <v>8355</v>
      </c>
      <c r="T67" s="3">
        <f t="shared" si="7"/>
        <v>9201</v>
      </c>
      <c r="U67" s="3">
        <f t="shared" si="8"/>
        <v>9576</v>
      </c>
      <c r="V67" s="3">
        <f t="shared" si="9"/>
        <v>8698</v>
      </c>
      <c r="W67" s="3">
        <f t="shared" si="10"/>
        <v>8775</v>
      </c>
      <c r="X67" s="3">
        <f t="shared" si="11"/>
        <v>9414</v>
      </c>
      <c r="Y67" s="3">
        <f t="shared" si="12"/>
        <v>-692</v>
      </c>
      <c r="Z67" t="s">
        <v>51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7"/>
    </row>
    <row r="68" spans="1:49" x14ac:dyDescent="0.25">
      <c r="A68" s="1" t="s">
        <v>28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>
        <f t="shared" si="1"/>
        <v>9900</v>
      </c>
      <c r="O68" s="3">
        <f t="shared" si="2"/>
        <v>-1784</v>
      </c>
      <c r="P68" s="3">
        <f t="shared" si="3"/>
        <v>2795</v>
      </c>
      <c r="Q68" s="3">
        <f t="shared" si="4"/>
        <v>7191</v>
      </c>
      <c r="R68" s="3">
        <f t="shared" si="5"/>
        <v>8200</v>
      </c>
      <c r="S68" s="3">
        <f t="shared" si="6"/>
        <v>8404</v>
      </c>
      <c r="T68" s="3">
        <f t="shared" si="7"/>
        <v>10028</v>
      </c>
      <c r="U68" s="3">
        <f t="shared" si="8"/>
        <v>9330</v>
      </c>
      <c r="V68" s="3">
        <f t="shared" si="9"/>
        <v>8868</v>
      </c>
      <c r="W68" s="3">
        <f t="shared" si="10"/>
        <v>9958</v>
      </c>
      <c r="X68" s="3">
        <f t="shared" si="11"/>
        <v>9470</v>
      </c>
      <c r="Y68" s="3">
        <f t="shared" si="12"/>
        <v>-410</v>
      </c>
      <c r="Z68" t="s">
        <v>52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7"/>
    </row>
    <row r="69" spans="1:49" x14ac:dyDescent="0.25">
      <c r="A69" s="1" t="s">
        <v>29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f t="shared" si="1"/>
        <v>9217</v>
      </c>
      <c r="O69" s="3">
        <f t="shared" si="2"/>
        <v>-3585</v>
      </c>
      <c r="P69" s="3">
        <f t="shared" si="3"/>
        <v>1365</v>
      </c>
      <c r="Q69" s="3">
        <f t="shared" si="4"/>
        <v>6369</v>
      </c>
      <c r="R69" s="3">
        <f t="shared" si="5"/>
        <v>7552</v>
      </c>
      <c r="S69" s="3">
        <f t="shared" si="6"/>
        <v>8161</v>
      </c>
      <c r="T69" s="3">
        <f t="shared" si="7"/>
        <v>9585</v>
      </c>
      <c r="U69" s="3">
        <f t="shared" si="8"/>
        <v>9082</v>
      </c>
      <c r="V69" s="3">
        <f t="shared" si="9"/>
        <v>8617</v>
      </c>
      <c r="W69" s="3">
        <f t="shared" si="10"/>
        <v>9493</v>
      </c>
      <c r="X69" s="3">
        <f t="shared" ref="X69:X83" si="13">X35-L35</f>
        <v>9020</v>
      </c>
      <c r="Y69" s="3">
        <f t="shared" si="12"/>
        <v>-218</v>
      </c>
      <c r="Z69" t="s">
        <v>52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7"/>
    </row>
    <row r="70" spans="1:49" x14ac:dyDescent="0.25">
      <c r="A70" s="1" t="s">
        <v>30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>
        <f t="shared" si="1"/>
        <v>9914</v>
      </c>
      <c r="O70" s="3">
        <f t="shared" si="2"/>
        <v>-6561</v>
      </c>
      <c r="P70" s="3">
        <f t="shared" si="3"/>
        <v>-2770</v>
      </c>
      <c r="Q70" s="3">
        <f t="shared" si="4"/>
        <v>-434</v>
      </c>
      <c r="R70" s="3">
        <f t="shared" si="5"/>
        <v>-68</v>
      </c>
      <c r="S70" s="3">
        <f t="shared" si="6"/>
        <v>1254</v>
      </c>
      <c r="T70" s="3">
        <f t="shared" si="7"/>
        <v>4923</v>
      </c>
      <c r="U70" s="3">
        <f t="shared" si="8"/>
        <v>7140</v>
      </c>
      <c r="V70" s="3">
        <f t="shared" si="9"/>
        <v>8356</v>
      </c>
      <c r="W70" s="3">
        <f t="shared" si="10"/>
        <v>7986</v>
      </c>
      <c r="X70" s="3">
        <f t="shared" si="13"/>
        <v>9137</v>
      </c>
      <c r="Y70" s="3">
        <f t="shared" si="12"/>
        <v>-368</v>
      </c>
      <c r="Z70" t="s">
        <v>53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7"/>
    </row>
    <row r="71" spans="1:49" x14ac:dyDescent="0.25">
      <c r="A71" s="1" t="s">
        <v>31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>
        <f t="shared" si="1"/>
        <v>9248</v>
      </c>
      <c r="O71" s="3">
        <f t="shared" si="2"/>
        <v>-5206</v>
      </c>
      <c r="P71" s="3">
        <f t="shared" si="3"/>
        <v>-2218</v>
      </c>
      <c r="Q71" s="3">
        <f t="shared" si="4"/>
        <v>-238</v>
      </c>
      <c r="R71" s="3">
        <f t="shared" si="5"/>
        <v>558</v>
      </c>
      <c r="S71" s="3">
        <f t="shared" si="6"/>
        <v>1401</v>
      </c>
      <c r="T71" s="3">
        <f t="shared" si="7"/>
        <v>4917</v>
      </c>
      <c r="U71" s="3">
        <f t="shared" si="8"/>
        <v>6635</v>
      </c>
      <c r="V71" s="3">
        <f t="shared" si="9"/>
        <v>7397</v>
      </c>
      <c r="W71" s="3">
        <f t="shared" si="10"/>
        <v>9205</v>
      </c>
      <c r="X71" s="3">
        <f t="shared" si="13"/>
        <v>8997</v>
      </c>
      <c r="Y71" s="3">
        <f t="shared" si="12"/>
        <v>-532</v>
      </c>
      <c r="Z71" t="s">
        <v>53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7"/>
    </row>
    <row r="72" spans="1:49" x14ac:dyDescent="0.25">
      <c r="A72" s="1" t="s">
        <v>32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f t="shared" si="1"/>
        <v>9237</v>
      </c>
      <c r="O72" s="3">
        <f t="shared" si="2"/>
        <v>24343</v>
      </c>
      <c r="P72" s="3">
        <f t="shared" si="3"/>
        <v>-1070</v>
      </c>
      <c r="Q72" s="3">
        <f t="shared" si="4"/>
        <v>1561</v>
      </c>
      <c r="R72" s="3">
        <f t="shared" si="5"/>
        <v>4522</v>
      </c>
      <c r="S72" s="3">
        <f t="shared" si="6"/>
        <v>6460</v>
      </c>
      <c r="T72" s="3">
        <f t="shared" si="7"/>
        <v>8537</v>
      </c>
      <c r="U72" s="3">
        <f t="shared" si="8"/>
        <v>9335</v>
      </c>
      <c r="V72" s="3">
        <f t="shared" si="9"/>
        <v>9343</v>
      </c>
      <c r="W72" s="3">
        <f t="shared" si="10"/>
        <v>10162</v>
      </c>
      <c r="X72" s="3">
        <f t="shared" si="13"/>
        <v>9920</v>
      </c>
      <c r="Y72" s="3">
        <f t="shared" si="12"/>
        <v>-976</v>
      </c>
      <c r="Z72" t="s">
        <v>54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7"/>
    </row>
    <row r="73" spans="1:49" x14ac:dyDescent="0.25">
      <c r="A73" s="1" t="s">
        <v>33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>
        <f t="shared" si="1"/>
        <v>9241</v>
      </c>
      <c r="O73" s="3">
        <f t="shared" si="2"/>
        <v>2320</v>
      </c>
      <c r="P73" s="3">
        <f t="shared" si="3"/>
        <v>-1786</v>
      </c>
      <c r="Q73" s="3">
        <f t="shared" si="4"/>
        <v>1099</v>
      </c>
      <c r="R73" s="3">
        <f t="shared" si="5"/>
        <v>3734</v>
      </c>
      <c r="S73" s="3">
        <f t="shared" si="6"/>
        <v>5844</v>
      </c>
      <c r="T73" s="3">
        <f t="shared" si="7"/>
        <v>8519</v>
      </c>
      <c r="U73" s="3">
        <f t="shared" si="8"/>
        <v>8514</v>
      </c>
      <c r="V73" s="3">
        <f t="shared" si="9"/>
        <v>8485</v>
      </c>
      <c r="W73" s="3">
        <f t="shared" si="10"/>
        <v>9536</v>
      </c>
      <c r="X73" s="3">
        <f t="shared" si="13"/>
        <v>9196</v>
      </c>
      <c r="Y73" s="3">
        <f t="shared" si="12"/>
        <v>-794</v>
      </c>
      <c r="Z73" t="s">
        <v>54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7"/>
    </row>
    <row r="74" spans="1:49" x14ac:dyDescent="0.25">
      <c r="A74" s="1" t="s">
        <v>34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f t="shared" si="1"/>
        <v>9922</v>
      </c>
      <c r="O74" s="3">
        <f t="shared" si="2"/>
        <v>2001</v>
      </c>
      <c r="P74" s="3">
        <f t="shared" si="3"/>
        <v>608</v>
      </c>
      <c r="Q74" s="3">
        <f t="shared" si="4"/>
        <v>4748</v>
      </c>
      <c r="R74" s="3">
        <f t="shared" si="5"/>
        <v>6801</v>
      </c>
      <c r="S74" s="3">
        <f t="shared" si="6"/>
        <v>8730</v>
      </c>
      <c r="T74" s="3">
        <f t="shared" si="7"/>
        <v>10245</v>
      </c>
      <c r="U74" s="3">
        <f t="shared" si="8"/>
        <v>9727</v>
      </c>
      <c r="V74" s="3">
        <f t="shared" si="9"/>
        <v>9093</v>
      </c>
      <c r="W74" s="3">
        <f t="shared" si="10"/>
        <v>9387</v>
      </c>
      <c r="X74" s="3">
        <f t="shared" si="13"/>
        <v>9696</v>
      </c>
      <c r="Y74" s="3">
        <f t="shared" si="12"/>
        <v>-923</v>
      </c>
      <c r="Z74" t="s">
        <v>55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7"/>
    </row>
    <row r="75" spans="1:49" x14ac:dyDescent="0.25">
      <c r="A75" s="1" t="s">
        <v>35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f t="shared" si="1"/>
        <v>10297</v>
      </c>
      <c r="O75" s="3">
        <f t="shared" si="2"/>
        <v>894</v>
      </c>
      <c r="P75" s="3">
        <f t="shared" si="3"/>
        <v>583</v>
      </c>
      <c r="Q75" s="3">
        <f t="shared" si="4"/>
        <v>3907</v>
      </c>
      <c r="R75" s="3">
        <f t="shared" si="5"/>
        <v>6446</v>
      </c>
      <c r="S75" s="3">
        <f t="shared" si="6"/>
        <v>8037</v>
      </c>
      <c r="T75" s="3">
        <f t="shared" si="7"/>
        <v>9584</v>
      </c>
      <c r="U75" s="3">
        <f t="shared" si="8"/>
        <v>9253</v>
      </c>
      <c r="V75" s="3">
        <f t="shared" si="9"/>
        <v>7844</v>
      </c>
      <c r="W75" s="3">
        <f t="shared" si="10"/>
        <v>9533</v>
      </c>
      <c r="X75" s="3">
        <f t="shared" si="13"/>
        <v>9940</v>
      </c>
      <c r="Y75" s="3">
        <f t="shared" si="12"/>
        <v>-300</v>
      </c>
      <c r="Z75" t="s">
        <v>55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7"/>
    </row>
    <row r="76" spans="1:49" x14ac:dyDescent="0.25">
      <c r="A76" s="1" t="s">
        <v>36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f t="shared" si="1"/>
        <v>9575</v>
      </c>
      <c r="O76" s="3">
        <f t="shared" si="2"/>
        <v>4797</v>
      </c>
      <c r="P76" s="3">
        <f t="shared" si="3"/>
        <v>1382</v>
      </c>
      <c r="Q76" s="3">
        <f t="shared" si="4"/>
        <v>3107</v>
      </c>
      <c r="R76" s="3">
        <f t="shared" si="5"/>
        <v>9200</v>
      </c>
      <c r="S76" s="3">
        <f t="shared" si="6"/>
        <v>8129</v>
      </c>
      <c r="T76" s="3">
        <f t="shared" si="7"/>
        <v>10171</v>
      </c>
      <c r="U76" s="3">
        <f t="shared" si="8"/>
        <v>9693</v>
      </c>
      <c r="V76" s="3">
        <f t="shared" si="9"/>
        <v>8929</v>
      </c>
      <c r="W76" s="3">
        <f t="shared" si="10"/>
        <v>9666</v>
      </c>
      <c r="X76" s="3">
        <f t="shared" si="13"/>
        <v>9581</v>
      </c>
      <c r="Y76" s="3">
        <f t="shared" si="12"/>
        <v>-592</v>
      </c>
      <c r="Z76" t="s">
        <v>56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7"/>
    </row>
    <row r="77" spans="1:49" x14ac:dyDescent="0.25">
      <c r="A77" s="1" t="s">
        <v>37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f t="shared" si="1"/>
        <v>9188</v>
      </c>
      <c r="O77" s="3">
        <f t="shared" si="2"/>
        <v>-11841</v>
      </c>
      <c r="P77" s="3">
        <f t="shared" si="3"/>
        <v>-4494</v>
      </c>
      <c r="Q77" s="3">
        <f t="shared" si="4"/>
        <v>2344</v>
      </c>
      <c r="R77" s="3">
        <f t="shared" si="5"/>
        <v>8723</v>
      </c>
      <c r="S77" s="3">
        <f t="shared" si="6"/>
        <v>7090</v>
      </c>
      <c r="T77" s="3">
        <f t="shared" si="7"/>
        <v>8684</v>
      </c>
      <c r="U77" s="3">
        <f t="shared" si="8"/>
        <v>8984</v>
      </c>
      <c r="V77" s="3">
        <f t="shared" si="9"/>
        <v>8159</v>
      </c>
      <c r="W77" s="3">
        <f t="shared" si="10"/>
        <v>9590</v>
      </c>
      <c r="X77" s="3">
        <f t="shared" si="13"/>
        <v>9214</v>
      </c>
      <c r="Y77" s="3">
        <f t="shared" si="12"/>
        <v>-597</v>
      </c>
      <c r="Z77" t="s">
        <v>56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7"/>
    </row>
    <row r="78" spans="1:49" x14ac:dyDescent="0.25">
      <c r="A78" s="1" t="s">
        <v>38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f t="shared" si="1"/>
        <v>10175</v>
      </c>
      <c r="O78" s="3">
        <f t="shared" si="2"/>
        <v>-2141</v>
      </c>
      <c r="P78" s="3">
        <f t="shared" si="3"/>
        <v>942</v>
      </c>
      <c r="Q78" s="3">
        <f t="shared" si="4"/>
        <v>5531</v>
      </c>
      <c r="R78" s="3">
        <f t="shared" si="5"/>
        <v>5857</v>
      </c>
      <c r="S78" s="3">
        <f t="shared" si="6"/>
        <v>5211</v>
      </c>
      <c r="T78" s="3">
        <f t="shared" si="7"/>
        <v>8405</v>
      </c>
      <c r="U78" s="3">
        <f t="shared" si="8"/>
        <v>9382</v>
      </c>
      <c r="V78" s="3">
        <f t="shared" si="9"/>
        <v>9203</v>
      </c>
      <c r="W78" s="3">
        <f t="shared" si="10"/>
        <v>10320</v>
      </c>
      <c r="X78" s="3">
        <f t="shared" si="13"/>
        <v>9351</v>
      </c>
      <c r="Y78" s="3">
        <f t="shared" si="12"/>
        <v>-614</v>
      </c>
      <c r="Z78" t="s">
        <v>57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7"/>
    </row>
    <row r="79" spans="1:49" x14ac:dyDescent="0.25">
      <c r="A79" s="1" t="s">
        <v>39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f t="shared" si="1"/>
        <v>9087</v>
      </c>
      <c r="O79" s="3">
        <f t="shared" si="2"/>
        <v>-4674</v>
      </c>
      <c r="P79" s="3">
        <f t="shared" si="3"/>
        <v>-6216</v>
      </c>
      <c r="Q79" s="3">
        <f t="shared" si="4"/>
        <v>397</v>
      </c>
      <c r="R79" s="3">
        <f t="shared" si="5"/>
        <v>6160</v>
      </c>
      <c r="S79" s="3">
        <f t="shared" si="6"/>
        <v>4462</v>
      </c>
      <c r="T79" s="3">
        <f t="shared" si="7"/>
        <v>8215</v>
      </c>
      <c r="U79" s="3">
        <f t="shared" si="8"/>
        <v>8676</v>
      </c>
      <c r="V79" s="3">
        <f t="shared" si="9"/>
        <v>8571</v>
      </c>
      <c r="W79" s="3">
        <f t="shared" si="10"/>
        <v>9484</v>
      </c>
      <c r="X79" s="3">
        <f t="shared" si="13"/>
        <v>8831</v>
      </c>
      <c r="Y79" s="3">
        <f t="shared" si="12"/>
        <v>-925</v>
      </c>
      <c r="Z79" t="s">
        <v>57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7"/>
    </row>
    <row r="80" spans="1:49" x14ac:dyDescent="0.25">
      <c r="A80" s="1" t="s">
        <v>40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f t="shared" si="1"/>
        <v>10118</v>
      </c>
      <c r="O80" s="3">
        <f t="shared" si="2"/>
        <v>9405</v>
      </c>
      <c r="P80" s="3">
        <f t="shared" si="3"/>
        <v>4034</v>
      </c>
      <c r="Q80" s="3">
        <f t="shared" si="4"/>
        <v>2248</v>
      </c>
      <c r="R80" s="3">
        <f t="shared" si="5"/>
        <v>4223</v>
      </c>
      <c r="S80" s="3">
        <f t="shared" si="6"/>
        <v>4720</v>
      </c>
      <c r="T80" s="3">
        <f t="shared" si="7"/>
        <v>6741</v>
      </c>
      <c r="U80" s="3">
        <f t="shared" si="8"/>
        <v>8042</v>
      </c>
      <c r="V80" s="3">
        <f t="shared" si="9"/>
        <v>8463</v>
      </c>
      <c r="W80" s="3">
        <f t="shared" si="10"/>
        <v>9763</v>
      </c>
      <c r="X80" s="3">
        <f t="shared" si="13"/>
        <v>9614</v>
      </c>
      <c r="Y80" s="3">
        <f t="shared" si="12"/>
        <v>-694</v>
      </c>
      <c r="Z80" t="s">
        <v>58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7"/>
    </row>
    <row r="81" spans="1:49" x14ac:dyDescent="0.25">
      <c r="A81" s="1" t="s">
        <v>41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>
        <f t="shared" si="1"/>
        <v>9770</v>
      </c>
      <c r="O81" s="3">
        <f t="shared" si="2"/>
        <v>255</v>
      </c>
      <c r="P81" s="3">
        <f t="shared" si="3"/>
        <v>-1116</v>
      </c>
      <c r="Q81" s="3">
        <f t="shared" si="4"/>
        <v>-259</v>
      </c>
      <c r="R81" s="3">
        <f t="shared" si="5"/>
        <v>8332</v>
      </c>
      <c r="S81" s="3">
        <f t="shared" si="6"/>
        <v>3295</v>
      </c>
      <c r="T81" s="3">
        <f t="shared" si="7"/>
        <v>6179</v>
      </c>
      <c r="U81" s="3">
        <f t="shared" si="8"/>
        <v>7708</v>
      </c>
      <c r="V81" s="3">
        <f t="shared" si="9"/>
        <v>8065</v>
      </c>
      <c r="W81" s="3">
        <f t="shared" si="10"/>
        <v>9412</v>
      </c>
      <c r="X81" s="3">
        <f t="shared" si="13"/>
        <v>9240</v>
      </c>
      <c r="Y81" s="3">
        <f t="shared" si="12"/>
        <v>-360</v>
      </c>
      <c r="Z81" t="s">
        <v>58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7"/>
    </row>
    <row r="82" spans="1:49" x14ac:dyDescent="0.25">
      <c r="A82" s="1" t="s">
        <v>42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>
        <f t="shared" si="1"/>
        <v>10051</v>
      </c>
      <c r="O82" s="3">
        <f t="shared" si="2"/>
        <v>1632</v>
      </c>
      <c r="P82" s="3">
        <f t="shared" si="3"/>
        <v>322</v>
      </c>
      <c r="Q82" s="3">
        <f t="shared" si="4"/>
        <v>2349</v>
      </c>
      <c r="R82" s="3">
        <f t="shared" si="5"/>
        <v>4811</v>
      </c>
      <c r="S82" s="3">
        <f t="shared" si="6"/>
        <v>7710</v>
      </c>
      <c r="T82" s="3">
        <f t="shared" si="7"/>
        <v>9281</v>
      </c>
      <c r="U82" s="3">
        <f t="shared" si="8"/>
        <v>9248</v>
      </c>
      <c r="V82" s="3">
        <f t="shared" si="9"/>
        <v>9241</v>
      </c>
      <c r="W82" s="3">
        <f t="shared" si="10"/>
        <v>9487</v>
      </c>
      <c r="X82" s="3">
        <f t="shared" si="13"/>
        <v>9654</v>
      </c>
      <c r="Y82" s="3">
        <f t="shared" si="12"/>
        <v>-603</v>
      </c>
      <c r="Z82" t="s">
        <v>59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7"/>
    </row>
    <row r="83" spans="1:49" x14ac:dyDescent="0.25">
      <c r="A83" s="1" t="s">
        <v>43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f t="shared" si="1"/>
        <v>9309</v>
      </c>
      <c r="O83" s="3">
        <f t="shared" si="2"/>
        <v>-1567</v>
      </c>
      <c r="P83" s="3">
        <f t="shared" si="3"/>
        <v>453</v>
      </c>
      <c r="Q83" s="3">
        <f t="shared" si="4"/>
        <v>1997</v>
      </c>
      <c r="R83" s="3">
        <f t="shared" si="5"/>
        <v>4318</v>
      </c>
      <c r="S83" s="3">
        <f t="shared" si="6"/>
        <v>6818</v>
      </c>
      <c r="T83" s="3">
        <f t="shared" si="7"/>
        <v>8821</v>
      </c>
      <c r="U83" s="3">
        <f t="shared" si="8"/>
        <v>9269</v>
      </c>
      <c r="V83" s="3">
        <f t="shared" si="9"/>
        <v>9096</v>
      </c>
      <c r="W83" s="3">
        <f t="shared" si="10"/>
        <v>10064</v>
      </c>
      <c r="X83" s="3">
        <f t="shared" si="13"/>
        <v>9615</v>
      </c>
      <c r="Y83" s="3">
        <f t="shared" si="12"/>
        <v>-871</v>
      </c>
      <c r="Z83" t="s">
        <v>59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10"/>
    </row>
  </sheetData>
  <conditionalFormatting sqref="B18:Y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Y83">
    <cfRule type="colorScale" priority="1">
      <colorScale>
        <cfvo type="num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dc:title/>
  <dc:subject/>
  <dc:description/>
  <cp:keywords/>
  <cp:category/>
  <cp:lastModifiedBy>test</cp:lastModifiedBy>
  <dcterms:created xsi:type="dcterms:W3CDTF">1970-01-01T00:00:00Z</dcterms:created>
  <dcterms:modified xsi:type="dcterms:W3CDTF">1970-01-01T00:00:00Z</dcterms:modified>
</cp:coreProperties>
</file>